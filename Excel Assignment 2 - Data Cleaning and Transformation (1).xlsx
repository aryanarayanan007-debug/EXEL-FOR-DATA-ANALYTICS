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b57aec62d993674/Desktop/aaaaaaaa/Assignment 2/"/>
    </mc:Choice>
  </mc:AlternateContent>
  <xr:revisionPtr revIDLastSave="259" documentId="11_3C784BE47D5BC9D6C729A121CD02E8CB7FE6236B" xr6:coauthVersionLast="47" xr6:coauthVersionMax="47" xr10:uidLastSave="{415A59D2-398A-4B42-8CF6-8DD938A62E58}"/>
  <bookViews>
    <workbookView xWindow="-110" yWindow="-110" windowWidth="19420" windowHeight="10300" firstSheet="5" activeTab="7" xr2:uid="{00000000-000D-0000-FFFF-FFFF00000000}"/>
  </bookViews>
  <sheets>
    <sheet name="Instructions" sheetId="1" r:id="rId1"/>
    <sheet name="Dataset" sheetId="2" r:id="rId2"/>
    <sheet name="1) Handling Missing Values" sheetId="3" r:id="rId3"/>
    <sheet name="2) Correcting Incosistant Data" sheetId="4" r:id="rId4"/>
    <sheet name="3)Removing Duplicates" sheetId="5" r:id="rId5"/>
    <sheet name="4)Splitting and Merging Data" sheetId="6" r:id="rId6"/>
    <sheet name="5)Number Formating" sheetId="7" r:id="rId7"/>
    <sheet name="6) Conditional Formatting" sheetId="9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rIR6213FxEpgZ/k1UDjxyMHI45/G9Bc960XOAAH4UN4="/>
    </ext>
  </extLst>
</workbook>
</file>

<file path=xl/calcChain.xml><?xml version="1.0" encoding="utf-8"?>
<calcChain xmlns="http://schemas.openxmlformats.org/spreadsheetml/2006/main">
  <c r="D2" i="7" l="1"/>
  <c r="F2" i="7"/>
  <c r="H2" i="7"/>
  <c r="I2" i="7"/>
  <c r="D3" i="7"/>
  <c r="F3" i="7"/>
  <c r="H3" i="7"/>
  <c r="I3" i="7"/>
  <c r="D4" i="7"/>
  <c r="F4" i="7"/>
  <c r="H4" i="7"/>
  <c r="I4" i="7"/>
  <c r="D5" i="7"/>
  <c r="F5" i="7"/>
  <c r="H5" i="7"/>
  <c r="I5" i="7"/>
  <c r="D6" i="7"/>
  <c r="F6" i="7"/>
  <c r="H6" i="7"/>
  <c r="I6" i="7"/>
  <c r="D7" i="7"/>
  <c r="F7" i="7"/>
  <c r="H7" i="7"/>
  <c r="I7" i="7"/>
  <c r="D8" i="7"/>
  <c r="F8" i="7"/>
  <c r="H8" i="7"/>
  <c r="I8" i="7"/>
  <c r="D9" i="7"/>
  <c r="F9" i="7"/>
  <c r="H9" i="7"/>
  <c r="I9" i="7"/>
  <c r="D10" i="7"/>
  <c r="F10" i="7"/>
  <c r="H10" i="7"/>
  <c r="I10" i="7"/>
  <c r="D11" i="7"/>
  <c r="F11" i="7"/>
  <c r="H11" i="7"/>
  <c r="I11" i="7"/>
  <c r="D12" i="7"/>
  <c r="F12" i="7"/>
  <c r="H12" i="7"/>
  <c r="I12" i="7"/>
  <c r="D13" i="7"/>
  <c r="F13" i="7"/>
  <c r="H13" i="7"/>
  <c r="I13" i="7"/>
  <c r="D14" i="7"/>
  <c r="F14" i="7"/>
  <c r="H14" i="7"/>
  <c r="I14" i="7"/>
  <c r="D15" i="7"/>
  <c r="F15" i="7"/>
  <c r="H15" i="7"/>
  <c r="I15" i="7"/>
  <c r="D16" i="7"/>
  <c r="F16" i="7"/>
  <c r="H16" i="7"/>
  <c r="I16" i="7"/>
  <c r="D17" i="7"/>
  <c r="F17" i="7"/>
  <c r="H17" i="7"/>
  <c r="I17" i="7"/>
  <c r="D18" i="7"/>
  <c r="F18" i="7"/>
  <c r="H18" i="7"/>
  <c r="I18" i="7"/>
  <c r="D19" i="7"/>
  <c r="F19" i="7"/>
  <c r="H19" i="7"/>
  <c r="I19" i="7"/>
  <c r="D20" i="7"/>
  <c r="I20" i="7" s="1"/>
  <c r="F20" i="7"/>
  <c r="H20" i="7"/>
  <c r="D21" i="7"/>
  <c r="F21" i="7"/>
  <c r="H21" i="7"/>
  <c r="I21" i="7"/>
  <c r="D22" i="7"/>
  <c r="F22" i="7"/>
  <c r="H22" i="7"/>
  <c r="I22" i="7"/>
  <c r="D23" i="7"/>
  <c r="F23" i="7"/>
  <c r="H23" i="7"/>
  <c r="I23" i="7"/>
  <c r="D24" i="7"/>
  <c r="F24" i="7"/>
  <c r="H24" i="7"/>
  <c r="I24" i="7"/>
  <c r="D25" i="7"/>
  <c r="F25" i="7"/>
  <c r="H25" i="7"/>
  <c r="I25" i="7"/>
  <c r="D26" i="7"/>
  <c r="I26" i="7" s="1"/>
  <c r="F26" i="7"/>
  <c r="H26" i="7"/>
  <c r="D27" i="7"/>
  <c r="F27" i="7"/>
  <c r="H27" i="7"/>
  <c r="I27" i="7"/>
  <c r="D28" i="7"/>
  <c r="F28" i="7"/>
  <c r="H28" i="7"/>
  <c r="I28" i="7"/>
  <c r="D29" i="7"/>
  <c r="F29" i="7"/>
  <c r="H29" i="7"/>
  <c r="I29" i="7"/>
  <c r="D30" i="7"/>
  <c r="F30" i="7"/>
  <c r="H30" i="7"/>
  <c r="I30" i="7"/>
  <c r="D31" i="7"/>
  <c r="F31" i="7"/>
  <c r="H31" i="7"/>
  <c r="I31" i="7"/>
  <c r="D32" i="7"/>
  <c r="F32" i="7"/>
  <c r="H32" i="7"/>
  <c r="I32" i="7"/>
  <c r="D2" i="6"/>
  <c r="F2" i="6"/>
  <c r="H2" i="6"/>
  <c r="I2" i="6"/>
  <c r="D3" i="6"/>
  <c r="F3" i="6"/>
  <c r="H3" i="6"/>
  <c r="I3" i="6"/>
  <c r="D4" i="6"/>
  <c r="F4" i="6"/>
  <c r="H4" i="6"/>
  <c r="I4" i="6"/>
  <c r="D5" i="6"/>
  <c r="F5" i="6"/>
  <c r="H5" i="6"/>
  <c r="I5" i="6"/>
  <c r="D6" i="6"/>
  <c r="F6" i="6"/>
  <c r="H6" i="6"/>
  <c r="I6" i="6"/>
  <c r="D7" i="6"/>
  <c r="F7" i="6"/>
  <c r="H7" i="6"/>
  <c r="I7" i="6"/>
  <c r="D8" i="6"/>
  <c r="F8" i="6"/>
  <c r="H8" i="6"/>
  <c r="I8" i="6"/>
  <c r="D9" i="6"/>
  <c r="F9" i="6"/>
  <c r="H9" i="6"/>
  <c r="I9" i="6"/>
  <c r="D10" i="6"/>
  <c r="F10" i="6"/>
  <c r="H10" i="6"/>
  <c r="I10" i="6"/>
  <c r="D11" i="6"/>
  <c r="F11" i="6"/>
  <c r="H11" i="6"/>
  <c r="I11" i="6"/>
  <c r="D12" i="6"/>
  <c r="F12" i="6"/>
  <c r="H12" i="6"/>
  <c r="I12" i="6"/>
  <c r="D13" i="6"/>
  <c r="F13" i="6"/>
  <c r="H13" i="6"/>
  <c r="I13" i="6"/>
  <c r="D14" i="6"/>
  <c r="F14" i="6"/>
  <c r="H14" i="6"/>
  <c r="I14" i="6"/>
  <c r="D15" i="6"/>
  <c r="F15" i="6"/>
  <c r="H15" i="6"/>
  <c r="I15" i="6"/>
  <c r="D16" i="6"/>
  <c r="F16" i="6"/>
  <c r="H16" i="6"/>
  <c r="I16" i="6"/>
  <c r="D17" i="6"/>
  <c r="F17" i="6"/>
  <c r="H17" i="6"/>
  <c r="I17" i="6"/>
  <c r="D18" i="6"/>
  <c r="F18" i="6"/>
  <c r="H18" i="6"/>
  <c r="I18" i="6"/>
  <c r="D19" i="6"/>
  <c r="F19" i="6"/>
  <c r="H19" i="6"/>
  <c r="I19" i="6"/>
  <c r="D20" i="6"/>
  <c r="F20" i="6"/>
  <c r="H20" i="6"/>
  <c r="I20" i="6"/>
  <c r="D21" i="6"/>
  <c r="F21" i="6"/>
  <c r="H21" i="6"/>
  <c r="I21" i="6"/>
  <c r="D22" i="6"/>
  <c r="F22" i="6"/>
  <c r="H22" i="6"/>
  <c r="I22" i="6"/>
  <c r="D23" i="6"/>
  <c r="F23" i="6"/>
  <c r="H23" i="6"/>
  <c r="I23" i="6"/>
  <c r="D24" i="6"/>
  <c r="F24" i="6"/>
  <c r="H24" i="6"/>
  <c r="I24" i="6"/>
  <c r="D25" i="6"/>
  <c r="F25" i="6"/>
  <c r="H25" i="6"/>
  <c r="I25" i="6"/>
  <c r="D26" i="6"/>
  <c r="F26" i="6"/>
  <c r="H26" i="6"/>
  <c r="I26" i="6"/>
  <c r="D27" i="6"/>
  <c r="F27" i="6"/>
  <c r="H27" i="6"/>
  <c r="I27" i="6"/>
  <c r="D28" i="6"/>
  <c r="F28" i="6"/>
  <c r="H28" i="6"/>
  <c r="I28" i="6"/>
  <c r="D29" i="6"/>
  <c r="F29" i="6"/>
  <c r="H29" i="6"/>
  <c r="I29" i="6"/>
  <c r="D30" i="6"/>
  <c r="F30" i="6"/>
  <c r="H30" i="6"/>
  <c r="I30" i="6"/>
  <c r="D31" i="6"/>
  <c r="F31" i="6"/>
  <c r="H31" i="6"/>
  <c r="I31" i="6"/>
  <c r="D32" i="6"/>
  <c r="F32" i="6"/>
  <c r="H32" i="6"/>
  <c r="I32" i="6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3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2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F32" i="9"/>
  <c r="D32" i="9"/>
  <c r="I32" i="9" s="1"/>
  <c r="F31" i="9"/>
  <c r="D31" i="9"/>
  <c r="I31" i="9" s="1"/>
  <c r="F30" i="9"/>
  <c r="D30" i="9"/>
  <c r="I30" i="9" s="1"/>
  <c r="F29" i="9"/>
  <c r="D29" i="9"/>
  <c r="I29" i="9" s="1"/>
  <c r="F28" i="9"/>
  <c r="D28" i="9"/>
  <c r="I28" i="9" s="1"/>
  <c r="F27" i="9"/>
  <c r="D27" i="9"/>
  <c r="I27" i="9" s="1"/>
  <c r="F26" i="9"/>
  <c r="D26" i="9"/>
  <c r="I26" i="9" s="1"/>
  <c r="F25" i="9"/>
  <c r="D25" i="9"/>
  <c r="I25" i="9" s="1"/>
  <c r="F24" i="9"/>
  <c r="D24" i="9"/>
  <c r="I24" i="9" s="1"/>
  <c r="F23" i="9"/>
  <c r="D23" i="9"/>
  <c r="I23" i="9" s="1"/>
  <c r="F22" i="9"/>
  <c r="D22" i="9"/>
  <c r="I22" i="9" s="1"/>
  <c r="F21" i="9"/>
  <c r="D21" i="9"/>
  <c r="I21" i="9" s="1"/>
  <c r="F20" i="9"/>
  <c r="D20" i="9"/>
  <c r="I20" i="9" s="1"/>
  <c r="F19" i="9"/>
  <c r="D19" i="9"/>
  <c r="I19" i="9" s="1"/>
  <c r="F18" i="9"/>
  <c r="D18" i="9"/>
  <c r="I18" i="9" s="1"/>
  <c r="F17" i="9"/>
  <c r="D17" i="9"/>
  <c r="I17" i="9" s="1"/>
  <c r="F16" i="9"/>
  <c r="D16" i="9"/>
  <c r="I16" i="9" s="1"/>
  <c r="F15" i="9"/>
  <c r="D15" i="9"/>
  <c r="I15" i="9" s="1"/>
  <c r="F14" i="9"/>
  <c r="D14" i="9"/>
  <c r="I14" i="9" s="1"/>
  <c r="F13" i="9"/>
  <c r="D13" i="9"/>
  <c r="I13" i="9" s="1"/>
  <c r="F12" i="9"/>
  <c r="D12" i="9"/>
  <c r="I12" i="9" s="1"/>
  <c r="F11" i="9"/>
  <c r="D11" i="9"/>
  <c r="I11" i="9" s="1"/>
  <c r="F10" i="9"/>
  <c r="D10" i="9"/>
  <c r="I10" i="9" s="1"/>
  <c r="F9" i="9"/>
  <c r="D9" i="9"/>
  <c r="I9" i="9" s="1"/>
  <c r="F8" i="9"/>
  <c r="D8" i="9"/>
  <c r="I8" i="9" s="1"/>
  <c r="F7" i="9"/>
  <c r="D7" i="9"/>
  <c r="I7" i="9" s="1"/>
  <c r="F6" i="9"/>
  <c r="D6" i="9"/>
  <c r="I6" i="9" s="1"/>
  <c r="F5" i="9"/>
  <c r="D5" i="9"/>
  <c r="I5" i="9" s="1"/>
  <c r="F4" i="9"/>
  <c r="D4" i="9"/>
  <c r="I4" i="9" s="1"/>
  <c r="F3" i="9"/>
  <c r="D3" i="9"/>
  <c r="I3" i="9" s="1"/>
  <c r="F2" i="9"/>
  <c r="D2" i="9"/>
  <c r="I2" i="9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N4" i="3"/>
  <c r="N8" i="3"/>
  <c r="M6" i="3"/>
</calcChain>
</file>

<file path=xl/sharedStrings.xml><?xml version="1.0" encoding="utf-8"?>
<sst xmlns="http://schemas.openxmlformats.org/spreadsheetml/2006/main" count="898" uniqueCount="147">
  <si>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</si>
  <si>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</si>
  <si>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</si>
  <si>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</si>
  <si>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</si>
  <si>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</si>
  <si>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</si>
  <si>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</si>
  <si>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</si>
  <si>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</si>
  <si>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</si>
  <si>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</si>
  <si>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</si>
  <si>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</si>
  <si>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</si>
  <si>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</si>
  <si>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</si>
  <si>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</si>
  <si>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</si>
  <si>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</si>
  <si>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</si>
  <si>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</si>
  <si>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</si>
  <si>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</si>
  <si>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</si>
  <si>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</si>
  <si>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</si>
  <si>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</si>
  <si>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</si>
  <si>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</si>
  <si>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</si>
  <si>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</si>
  <si>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</si>
  <si>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</si>
  <si>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</si>
  <si>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</si>
  <si>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</si>
  <si>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</si>
  <si>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</si>
  <si>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</si>
  <si>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</si>
  <si>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</si>
  <si>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</si>
  <si>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</si>
  <si>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</si>
  <si>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</si>
  <si>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</si>
  <si>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</si>
  <si>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</si>
  <si>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</si>
  <si>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</si>
  <si>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</si>
  <si>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</si>
  <si>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</si>
  <si>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</si>
  <si>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</si>
  <si>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</si>
  <si>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</si>
  <si>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</si>
  <si>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</si>
  <si>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</si>
  <si>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</si>
  <si>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</si>
  <si>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</si>
  <si>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</si>
  <si>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</si>
  <si>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</si>
  <si>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</si>
  <si>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</si>
  <si>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</si>
  <si>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</si>
  <si>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</si>
  <si>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</si>
  <si>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</si>
  <si>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</si>
  <si>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</si>
  <si>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</si>
  <si>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</si>
  <si>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</si>
  <si>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</si>
  <si>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</si>
  <si>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</si>
  <si>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</si>
  <si>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</si>
  <si>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</si>
  <si>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</si>
  <si>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</si>
  <si>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</si>
  <si>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</si>
  <si>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</si>
  <si>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</si>
  <si>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</si>
  <si>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</si>
  <si>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</si>
  <si>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</si>
  <si>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</si>
  <si>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</si>
  <si>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</si>
  <si>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</si>
  <si>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</si>
  <si>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</si>
  <si>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</si>
  <si>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</si>
  <si>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</si>
  <si>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</si>
  <si>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</si>
  <si>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</si>
  <si>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</si>
  <si>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</si>
  <si>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</si>
  <si>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</si>
  <si>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</si>
  <si>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</si>
  <si>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</si>
  <si>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</si>
  <si>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</si>
  <si>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Missing Values in 'Price' column - </t>
  </si>
  <si>
    <t>For handling products with missing price information- here we can use MEDIAN to impute price because price data contains outliers.</t>
  </si>
  <si>
    <t xml:space="preserve">MEDIAN - </t>
  </si>
  <si>
    <t>Missing values in catogory column-</t>
  </si>
  <si>
    <t>In this case of missing category we can impute missing values with "Uncatogorized"</t>
  </si>
  <si>
    <t>Missing_Price</t>
  </si>
  <si>
    <t>Handled_Price</t>
  </si>
  <si>
    <t>Handled_Category</t>
  </si>
  <si>
    <t>Inconsistant use of captilization in the 'Product Name' column,where some entries are in lowercase and some in uppercase, which makes the data non-uniform</t>
  </si>
  <si>
    <t>non-uniform.</t>
  </si>
  <si>
    <t xml:space="preserve">And some extra space may contain the data.To solve inconsistent data this coloumn we can use proper() and Trim() functions. </t>
  </si>
  <si>
    <t xml:space="preserve">In the 'Category ' column contains the </t>
  </si>
  <si>
    <t>spelling mistakes and inconsistent variation of same category.</t>
  </si>
  <si>
    <t>New_Product Name</t>
  </si>
  <si>
    <t>New_Category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</si>
  <si>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</si>
  <si>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</si>
  <si>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</si>
  <si>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</si>
  <si>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</si>
  <si>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</si>
  <si>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</si>
  <si>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</si>
  <si>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</si>
  <si>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</si>
  <si>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</si>
  <si>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</si>
  <si>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</si>
  <si>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</si>
  <si>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</si>
  <si>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Price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</si>
</sst>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FF000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rial"/>
      <family val="2"/>
      <scheme val="minor"/>
    </font>
    <font>
      <sz val="8"/>
      <name val="Arial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9" fillId="0" borderId="0" xfId="0" applyFont="1"/>
    <xf numFmtId="0" fontId="10" fillId="2" borderId="0" xfId="0" applyFont="1" applyFill="1" applyAlignment="1">
      <alignment horizontal="center"/>
    </xf>
    <xf numFmtId="0" fontId="8" fillId="3" borderId="0" xfId="0" applyFont="1" applyFill="1"/>
    <xf numFmtId="0" fontId="11" fillId="0" borderId="0" xfId="0" applyFont="1"/>
    <xf numFmtId="0" fontId="12" fillId="0" borderId="0" xfId="0" applyFont="1"/>
    <xf numFmtId="16" fontId="5" fillId="0" borderId="0" xfId="0" applyNumberFormat="1" applyFont="1" applyAlignment="1">
      <alignment horizontal="left"/>
    </xf>
    <xf numFmtId="16" fontId="8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</cellXfs>
  <cellStyles count="1"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mmm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mmm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1" formatCode="dd/mmm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14</xdr:col>
      <xdr:colOff>482781</xdr:colOff>
      <xdr:row>17</xdr:row>
      <xdr:rowOff>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6ED1B9-5E76-B51D-EFF1-04C84C104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00" y="869950"/>
          <a:ext cx="3530781" cy="1943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u\Downloads\Excel%20Assignment%202%20-%20Data%20Cleaning%20and%20Transformation.xlsx" TargetMode="External"/><Relationship Id="rId1" Type="http://schemas.openxmlformats.org/officeDocument/2006/relationships/externalLinkPath" Target="file:///C:\Users\Sanu\Downloads\Excel%20Assignment%202%20-%20Data%20Cleaning%20and%20Trans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Dataset"/>
      <sheetName val="Sheet3"/>
      <sheetName val="Removing Duplicates"/>
      <sheetName val="Sheet2"/>
      <sheetName val="Excel Assignment 2 - Data Clean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363AD-2E9D-406E-8EA6-3FCAC67AF601}" name="Table1" displayName="Table1" ref="A1:I35" totalsRowShown="0" headerRowDxfId="51" dataDxfId="50">
  <autoFilter ref="A1:I35" xr:uid="{EA4363AD-2E9D-406E-8EA6-3FCAC67AF601}"/>
  <tableColumns count="9">
    <tableColumn id="1" xr3:uid="{1866E52B-8614-43A2-85AD-DDB5B01C739E}" name="Product ID" dataDxfId="49"/>
    <tableColumn id="2" xr3:uid="{D2674498-2644-4F98-B6FA-600C8A54F272}" name="Product Name" dataDxfId="48"/>
    <tableColumn id="3" xr3:uid="{67E285DF-F1B9-4521-A62B-35CF0A6BA525}" name="Brand Name" dataDxfId="47"/>
    <tableColumn id="4" xr3:uid="{3F71BA39-82FC-4A2C-A217-BE8F1EC07A33}" name="Price ($)" dataDxfId="46"/>
    <tableColumn id="7" xr3:uid="{CAF7EBA7-0F24-4255-BA77-A9F9103FD229}" name="Missing_Price" dataDxfId="45">
      <calculatedColumnFormula>ISBLANK(Table1[[#This Row],[Price ($)]])</calculatedColumnFormula>
    </tableColumn>
    <tableColumn id="8" xr3:uid="{B90C36FE-F9B2-4AEE-980F-CD0A1E7EEC32}" name="Handled_Price" dataDxfId="44">
      <calculatedColumnFormula>IF(ISBLANK(Table1[[#This Row],[Price ($)]]),MEDIAN(Table1[Price ($)]),Table1[[#This Row],[Price ($)]])</calculatedColumnFormula>
    </tableColumn>
    <tableColumn id="5" xr3:uid="{B0C4720E-0BA8-4B8B-95FE-86FDA41FE96D}" name="Quantity" dataDxfId="43"/>
    <tableColumn id="6" xr3:uid="{390989A6-6902-42CC-B2CF-BA22F505D9CF}" name="Category" dataDxfId="42"/>
    <tableColumn id="9" xr3:uid="{EAEB3F86-51CB-4782-9F69-37D51EB2DBB3}" name="Handled_Category" dataDxfId="41">
      <calculatedColumnFormula>IF(ISBLANK(Table1[[#This Row],[Category]]),"Unknown Categoty",Table1[[#This Row],[Category]])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0385DB-B7E6-4FCD-99CB-56093EF572B4}" name="Table2" displayName="Table2" ref="A1:H35" totalsRowShown="0" headerRowDxfId="40" dataDxfId="39">
  <autoFilter ref="A1:H35" xr:uid="{C70385DB-B7E6-4FCD-99CB-56093EF572B4}"/>
  <tableColumns count="8">
    <tableColumn id="1" xr3:uid="{044FA219-BAC8-47C6-842B-D29CE9BE0FD3}" name="Product ID" dataDxfId="38"/>
    <tableColumn id="2" xr3:uid="{EFE7A7E0-DA8F-4150-B77C-85675D9CB4CE}" name="Product Name" dataDxfId="37"/>
    <tableColumn id="7" xr3:uid="{A3170AAB-7BF8-4EFB-9A75-4D8E7D33719E}" name="New_Product Name" dataDxfId="36">
      <calculatedColumnFormula>PROPER(TRIM(Table2[[#This Row],[Product Name]]))</calculatedColumnFormula>
    </tableColumn>
    <tableColumn id="3" xr3:uid="{5C06B501-C8E7-4177-B84B-E62429BCA5F8}" name="Brand Name" dataDxfId="35"/>
    <tableColumn id="4" xr3:uid="{D80DF928-CA27-4338-B197-76A28C95186B}" name="Price ($)" dataDxfId="34"/>
    <tableColumn id="5" xr3:uid="{7F3DCC52-0626-42A8-8CF0-8AD4F2D74E82}" name="Quantity" dataDxfId="33"/>
    <tableColumn id="6" xr3:uid="{42A69A86-5A69-49E0-9BBD-CEE2EEF739BA}" name="Category" dataDxfId="32"/>
    <tableColumn id="9" xr3:uid="{66201954-E37B-4C9F-AD4C-CE668BF0A876}" name="New_Category" dataDxfId="31">
      <calculatedColumnFormula>IF(ISBLANK(Table2[[#This Row],[Category]]),"Unknown Categoty",Table2[[#This Row],[Category]])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697EC5-4FD8-4114-9139-FC650B0C8D0C}" name="Table3" displayName="Table3" ref="A1:F32" totalsRowShown="0" headerRowDxfId="30" dataDxfId="29">
  <autoFilter ref="A1:F32" xr:uid="{7E697EC5-4FD8-4114-9139-FC650B0C8D0C}"/>
  <tableColumns count="6">
    <tableColumn id="1" xr3:uid="{9881C014-C36D-4E02-958F-692F2753C085}" name="Product ID" dataDxfId="28"/>
    <tableColumn id="2" xr3:uid="{F2321CBB-DDB7-4022-A64E-0F4C7992F777}" name="Product Name" dataDxfId="27"/>
    <tableColumn id="3" xr3:uid="{C6BC5372-102E-4D3D-802D-9A4EA5471C23}" name="Brand Name" dataDxfId="26"/>
    <tableColumn id="4" xr3:uid="{604ECCAC-2971-4261-A407-F084F13F6FAA}" name="Price ($)" dataDxfId="25"/>
    <tableColumn id="5" xr3:uid="{FFA51669-C219-40AA-889D-6B3EAD4FE342}" name="Quantity" dataDxfId="24"/>
    <tableColumn id="6" xr3:uid="{3BB0E2DA-8736-429E-A3A5-375F21CBD352}" name="Category" dataDxfId="23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21C2B3-2E7C-4443-8069-9D0D0766E6A7}" name="Table4" displayName="Table4" ref="A1:I32" totalsRowShown="0" headerRowDxfId="11" dataDxfId="10">
  <autoFilter ref="A1:I32" xr:uid="{9521C2B3-2E7C-4443-8069-9D0D0766E6A7}"/>
  <tableColumns count="9">
    <tableColumn id="1" xr3:uid="{24B49A75-97BD-4E6B-9638-417D96376FC7}" name="Product ID" dataDxfId="9"/>
    <tableColumn id="10" xr3:uid="{763095EA-FE94-4186-B34C-0D428E095164}" name="Manufacturing Date" dataDxfId="8"/>
    <tableColumn id="11" xr3:uid="{42F80640-1419-4769-95E3-CC12845F63E6}" name="Country Code" dataDxfId="7"/>
    <tableColumn id="2" xr3:uid="{550779C4-8967-45FA-85A2-854E1A0DBB35}" name="Product Name" dataDxfId="6">
      <calculatedColumnFormula>PROPER(TRIM(Table2[[#This Row],[Product Name]]))</calculatedColumnFormula>
    </tableColumn>
    <tableColumn id="3" xr3:uid="{C3767A8E-1B6B-4442-B316-0B09C05416F5}" name="Brand Name" dataDxfId="5"/>
    <tableColumn id="4" xr3:uid="{392039E4-5FB3-4DD7-BCEF-4CCDB54A33E0}" name="Price ($)" dataDxfId="4">
      <calculatedColumnFormula>IF(ISBLANK(Table1[[#This Row],[Price ($)]]),MEDIAN(Table1[Price ($)]),Table1[[#This Row],[Price ($)]])</calculatedColumnFormula>
    </tableColumn>
    <tableColumn id="5" xr3:uid="{B1C4A291-0B09-4EA4-8503-F1F81C1E91DA}" name="Quantity" dataDxfId="3"/>
    <tableColumn id="6" xr3:uid="{6F2563E8-863D-48F2-9A82-34CDE5C6EF53}" name="Category" dataDxfId="2">
      <calculatedColumnFormula>IF(ISBLANK(Table2[[#This Row],[Category]]),"Unknown Categoty",Table2[[#This Row],[Category]])</calculatedColumnFormula>
    </tableColumn>
    <tableColumn id="12" xr3:uid="{0217F7FA-5FE6-46F8-8F33-316088199DF7}" name="Product Brand" dataDxfId="1">
      <calculatedColumnFormula>CONCATENATE(Table4[[#This Row],[Product Name]]," ",Table4[[#This Row],[Brand Name]])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1814ED-7A51-4950-9ECB-531DA30A5BB1}" name="Table47" displayName="Table47" ref="A1:I32" totalsRowShown="0" headerRowDxfId="22" dataDxfId="21">
  <autoFilter ref="A1:I32" xr:uid="{BB1814ED-7A51-4950-9ECB-531DA30A5BB1}"/>
  <tableColumns count="9">
    <tableColumn id="1" xr3:uid="{D5CE146D-C06B-44A6-B5FF-FFBC45A77A36}" name="Product ID" dataDxfId="20"/>
    <tableColumn id="10" xr3:uid="{53C33ED2-26DB-4032-8E16-5B12926CE938}" name="Manufacturing Date" dataDxfId="19"/>
    <tableColumn id="11" xr3:uid="{2F09AA48-C077-449B-8DBE-A36AC1498FAB}" name="Country Code" dataDxfId="18"/>
    <tableColumn id="2" xr3:uid="{0A864E9A-6FB7-48AA-BDC9-54563928517C}" name="Product Name" dataDxfId="17">
      <calculatedColumnFormula>PROPER(TRIM(Table2[[#This Row],[Product Name]]))</calculatedColumnFormula>
    </tableColumn>
    <tableColumn id="3" xr3:uid="{33CCFA14-A961-4ECE-9705-9BF7AE285719}" name="Brand Name" dataDxfId="16"/>
    <tableColumn id="4" xr3:uid="{6C52C73D-7E5C-403D-82F9-A4020FD4FCA6}" name="Price ()" dataDxfId="15">
      <calculatedColumnFormula>IF(ISBLANK(Table1[[#This Row],[Price ($)]]),MEDIAN(Table1[Price ($)]),Table1[[#This Row],[Price ($)]])</calculatedColumnFormula>
    </tableColumn>
    <tableColumn id="5" xr3:uid="{B84A148B-494E-42C6-9794-9C4E895295DF}" name="Quantity" dataDxfId="14"/>
    <tableColumn id="6" xr3:uid="{27D0310A-1BA7-4923-B793-07EF56AFB53D}" name="Category" dataDxfId="13">
      <calculatedColumnFormula>IF(ISBLANK(Table2[[#This Row],[Category]]),"Unknown Categoty",Table2[[#This Row],[Category]])</calculatedColumnFormula>
    </tableColumn>
    <tableColumn id="12" xr3:uid="{76B57D93-2B61-4A8C-94D7-4F0B6A73DED0}" name="Product Brand" dataDxfId="12">
      <calculatedColumnFormula>CONCATENATE(Table47[[#This Row],[Product Name]]," ",Table47[[#This Row],[Brand Name]])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E44687-3191-45C7-B15A-D25ECA556FF9}" name="Table478" displayName="Table478" ref="A1:I32" totalsRowShown="0" headerRowDxfId="62" dataDxfId="61">
  <autoFilter ref="A1:I32" xr:uid="{EAE44687-3191-45C7-B15A-D25ECA556FF9}"/>
  <tableColumns count="9">
    <tableColumn id="1" xr3:uid="{C3A80C78-7A4A-4826-8F3B-A428DECABE60}" name="Product ID" dataDxfId="60"/>
    <tableColumn id="10" xr3:uid="{9275C890-D6CE-4F34-9DB7-32E1ACCC8CA2}" name="Manufacturing Date" dataDxfId="59"/>
    <tableColumn id="11" xr3:uid="{56126710-F10B-469A-BD96-EB992C939B7B}" name="Country Code" dataDxfId="58"/>
    <tableColumn id="2" xr3:uid="{726FA535-E41D-4258-BDBD-12C607256B2E}" name="Product Name" dataDxfId="57">
      <calculatedColumnFormula>PROPER(TRIM(Table2[[#This Row],[Product Name]]))</calculatedColumnFormula>
    </tableColumn>
    <tableColumn id="3" xr3:uid="{B0F5B789-35B5-4ED1-AB9F-B83851F13C7A}" name="Brand Name" dataDxfId="56"/>
    <tableColumn id="4" xr3:uid="{CDF7797B-2AC2-4DD5-8E83-C034F2C2DCD6}" name="Price ()" dataDxfId="55">
      <calculatedColumnFormula>IF(ISBLANK(Table1[[#This Row],[Price ($)]]),MEDIAN(Table1[Price ($)]),Table1[[#This Row],[Price ($)]])</calculatedColumnFormula>
    </tableColumn>
    <tableColumn id="5" xr3:uid="{2D747D38-4B1B-4F7C-859D-16F2923047A2}" name="Quantity" dataDxfId="54"/>
    <tableColumn id="6" xr3:uid="{756F6968-E3F6-406A-8A08-2D93453AAF88}" name="Category" dataDxfId="53">
      <calculatedColumnFormula>IF(ISBLANK(Table2[[#This Row],[Category]]),"Unknown Categoty",Table2[[#This Row],[Category]])</calculatedColumnFormula>
    </tableColumn>
    <tableColumn id="12" xr3:uid="{05AA0BC1-F92D-4334-BCF5-67369F1B5751}" name="Product Brand" dataDxfId="52">
      <calculatedColumnFormula>CONCATENATE(Table478[[#This Row],[Product Name]]," ",Table478[[#This Row],[Brand Name]])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1" workbookViewId="0">
      <selection activeCell="B23" sqref="B23:L26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25" workbookViewId="0">
      <selection activeCell="H9" sqref="H9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8B1C-FE16-45E3-A992-F27DC37892E9}">
  <dimension ref="A1:N35"/>
  <sheetViews>
    <sheetView topLeftCell="A15" zoomScaleNormal="100" workbookViewId="0">
      <selection activeCell="J25" sqref="J25"/>
    </sheetView>
  </sheetViews>
  <sheetFormatPr defaultRowHeight="12.5" x14ac:dyDescent="0.25"/>
  <cols>
    <col min="1" max="1" width="11.90625" customWidth="1"/>
    <col min="2" max="2" width="15" customWidth="1"/>
    <col min="3" max="3" width="13.36328125" customWidth="1"/>
    <col min="4" max="4" width="10" customWidth="1"/>
    <col min="5" max="5" width="15.453125" customWidth="1"/>
    <col min="6" max="6" width="14.6328125" customWidth="1"/>
    <col min="8" max="8" width="11.36328125" customWidth="1"/>
    <col min="9" max="9" width="23.90625" customWidth="1"/>
    <col min="10" max="10" width="24.7265625" customWidth="1"/>
    <col min="12" max="12" width="19.6328125" customWidth="1"/>
  </cols>
  <sheetData>
    <row r="1" spans="1:14" ht="13" x14ac:dyDescent="0.3">
      <c r="A1" s="7" t="s">
        <v>19</v>
      </c>
      <c r="B1" s="7" t="s">
        <v>20</v>
      </c>
      <c r="C1" s="7" t="s">
        <v>21</v>
      </c>
      <c r="D1" s="7" t="s">
        <v>22</v>
      </c>
      <c r="E1" s="12" t="s">
        <v>121</v>
      </c>
      <c r="F1" s="12" t="s">
        <v>122</v>
      </c>
      <c r="G1" s="7" t="s">
        <v>23</v>
      </c>
      <c r="H1" s="7" t="s">
        <v>24</v>
      </c>
      <c r="I1" s="12" t="s">
        <v>123</v>
      </c>
    </row>
    <row r="2" spans="1:14" ht="15" x14ac:dyDescent="0.3">
      <c r="A2" s="5" t="s">
        <v>25</v>
      </c>
      <c r="B2" s="5" t="s">
        <v>26</v>
      </c>
      <c r="C2" s="5" t="s">
        <v>27</v>
      </c>
      <c r="D2" s="5">
        <v>1000</v>
      </c>
      <c r="E2" s="5" t="b">
        <f>ISBLANK(Table1[[#This Row],[Price ($)]])</f>
        <v>0</v>
      </c>
      <c r="F2" s="5">
        <f>IF(ISBLANK(Table1[[#This Row],[Price ($)]]),MEDIAN(Table1[Price ($)]),Table1[[#This Row],[Price ($)]])</f>
        <v>1000</v>
      </c>
      <c r="G2" s="9">
        <v>30</v>
      </c>
      <c r="H2" s="5" t="s">
        <v>28</v>
      </c>
      <c r="I2" s="13" t="str">
        <f>IF(ISBLANK(Table1[[#This Row],[Category]]),"Unknown Categoty",Table1[[#This Row],[Category]])</f>
        <v>Electronics</v>
      </c>
      <c r="K2" s="2" t="s">
        <v>1</v>
      </c>
    </row>
    <row r="3" spans="1:14" ht="15.5" x14ac:dyDescent="0.35">
      <c r="A3" s="8" t="s">
        <v>29</v>
      </c>
      <c r="B3" s="8" t="s">
        <v>30</v>
      </c>
      <c r="C3" s="8" t="s">
        <v>31</v>
      </c>
      <c r="D3" s="8">
        <v>80</v>
      </c>
      <c r="E3" s="8" t="b">
        <f>ISBLANK(Table1[[#This Row],[Price ($)]])</f>
        <v>0</v>
      </c>
      <c r="F3" s="8">
        <f>IF(ISBLANK(Table1[[#This Row],[Price ($)]]),MEDIAN(Table1[Price ($)]),Table1[[#This Row],[Price ($)]])</f>
        <v>80</v>
      </c>
      <c r="G3" s="10">
        <v>15</v>
      </c>
      <c r="H3" s="8" t="s">
        <v>32</v>
      </c>
      <c r="I3" s="13" t="str">
        <f>IF(ISBLANK(Table1[[#This Row],[Category]]),"Unknown Categoty",Table1[[#This Row],[Category]])</f>
        <v>Fashion</v>
      </c>
      <c r="L3" s="3" t="s">
        <v>2</v>
      </c>
    </row>
    <row r="4" spans="1:14" x14ac:dyDescent="0.25">
      <c r="A4" s="5" t="s">
        <v>33</v>
      </c>
      <c r="B4" s="5" t="s">
        <v>34</v>
      </c>
      <c r="C4" s="5" t="s">
        <v>35</v>
      </c>
      <c r="D4" s="5">
        <v>130</v>
      </c>
      <c r="E4" s="5" t="b">
        <f>ISBLANK(Table1[[#This Row],[Price ($)]])</f>
        <v>0</v>
      </c>
      <c r="F4" s="5">
        <f>IF(ISBLANK(Table1[[#This Row],[Price ($)]]),MEDIAN(Table1[Price ($)]),Table1[[#This Row],[Price ($)]])</f>
        <v>130</v>
      </c>
      <c r="G4" s="9">
        <v>40</v>
      </c>
      <c r="H4" s="5" t="s">
        <v>36</v>
      </c>
      <c r="I4" s="13" t="str">
        <f>IF(ISBLANK(Table1[[#This Row],[Category]]),"Unknown Categoty",Table1[[#This Row],[Category]])</f>
        <v>Kitchen</v>
      </c>
      <c r="L4" t="s">
        <v>116</v>
      </c>
      <c r="N4">
        <f>COUNTBLANK(D2:D35)</f>
        <v>3</v>
      </c>
    </row>
    <row r="5" spans="1:14" x14ac:dyDescent="0.25">
      <c r="A5" s="8" t="s">
        <v>37</v>
      </c>
      <c r="B5" s="8" t="s">
        <v>38</v>
      </c>
      <c r="C5" s="8" t="s">
        <v>39</v>
      </c>
      <c r="D5" s="8">
        <v>900</v>
      </c>
      <c r="E5" s="8" t="b">
        <f>ISBLANK(Table1[[#This Row],[Price ($)]])</f>
        <v>0</v>
      </c>
      <c r="F5" s="8">
        <f>IF(ISBLANK(Table1[[#This Row],[Price ($)]]),MEDIAN(Table1[Price ($)]),Table1[[#This Row],[Price ($)]])</f>
        <v>900</v>
      </c>
      <c r="G5" s="10">
        <v>25</v>
      </c>
      <c r="H5" s="8" t="s">
        <v>28</v>
      </c>
      <c r="I5" s="13" t="str">
        <f>IF(ISBLANK(Table1[[#This Row],[Category]]),"Unknown Categoty",Table1[[#This Row],[Category]])</f>
        <v>Electronics</v>
      </c>
      <c r="L5" s="11" t="s">
        <v>117</v>
      </c>
    </row>
    <row r="6" spans="1:14" x14ac:dyDescent="0.25">
      <c r="A6" s="5" t="s">
        <v>40</v>
      </c>
      <c r="B6" s="5" t="s">
        <v>41</v>
      </c>
      <c r="C6" s="5" t="s">
        <v>42</v>
      </c>
      <c r="D6" s="5">
        <v>70</v>
      </c>
      <c r="E6" s="5" t="b">
        <f>ISBLANK(Table1[[#This Row],[Price ($)]])</f>
        <v>0</v>
      </c>
      <c r="F6" s="5">
        <f>IF(ISBLANK(Table1[[#This Row],[Price ($)]]),MEDIAN(Table1[Price ($)]),Table1[[#This Row],[Price ($)]])</f>
        <v>70</v>
      </c>
      <c r="G6" s="9">
        <v>20</v>
      </c>
      <c r="H6" s="5"/>
      <c r="I6" s="13" t="str">
        <f>IF(ISBLANK(Table1[[#This Row],[Category]]),"Unknown Categoty",Table1[[#This Row],[Category]])</f>
        <v>Unknown Categoty</v>
      </c>
      <c r="L6" s="11" t="s">
        <v>118</v>
      </c>
      <c r="M6">
        <f>MEDIAN([1]!Table2[Price ($)])</f>
        <v>130</v>
      </c>
    </row>
    <row r="7" spans="1:14" ht="15.5" x14ac:dyDescent="0.35">
      <c r="A7" s="8" t="s">
        <v>43</v>
      </c>
      <c r="B7" s="8" t="s">
        <v>44</v>
      </c>
      <c r="C7" s="8" t="s">
        <v>45</v>
      </c>
      <c r="D7" s="8"/>
      <c r="E7" s="8" t="b">
        <f>ISBLANK(Table1[[#This Row],[Price ($)]])</f>
        <v>1</v>
      </c>
      <c r="F7" s="8">
        <f>IF(ISBLANK(Table1[[#This Row],[Price ($)]]),MEDIAN(Table1[Price ($)]),Table1[[#This Row],[Price ($)]])</f>
        <v>130</v>
      </c>
      <c r="G7" s="10">
        <v>45</v>
      </c>
      <c r="H7" s="8" t="s">
        <v>46</v>
      </c>
      <c r="I7" s="13" t="str">
        <f>IF(ISBLANK(Table1[[#This Row],[Category]]),"Unknown Categoty",Table1[[#This Row],[Category]])</f>
        <v>Electroni</v>
      </c>
      <c r="L7" s="3" t="s">
        <v>3</v>
      </c>
    </row>
    <row r="8" spans="1:14" x14ac:dyDescent="0.25">
      <c r="A8" s="5" t="s">
        <v>47</v>
      </c>
      <c r="B8" s="5" t="s">
        <v>48</v>
      </c>
      <c r="C8" s="5" t="s">
        <v>49</v>
      </c>
      <c r="D8" s="5">
        <v>30</v>
      </c>
      <c r="E8" s="5" t="b">
        <f>ISBLANK(Table1[[#This Row],[Price ($)]])</f>
        <v>0</v>
      </c>
      <c r="F8" s="5">
        <f>IF(ISBLANK(Table1[[#This Row],[Price ($)]]),MEDIAN(Table1[Price ($)]),Table1[[#This Row],[Price ($)]])</f>
        <v>30</v>
      </c>
      <c r="G8" s="9">
        <v>5</v>
      </c>
      <c r="H8" s="5" t="s">
        <v>32</v>
      </c>
      <c r="I8" s="13" t="str">
        <f>IF(ISBLANK(Table1[[#This Row],[Category]]),"Unknown Categoty",Table1[[#This Row],[Category]])</f>
        <v>Fashion</v>
      </c>
      <c r="L8" s="11" t="s">
        <v>119</v>
      </c>
      <c r="N8">
        <f>COUNTBLANK([1]!Table2[Category])</f>
        <v>4</v>
      </c>
    </row>
    <row r="9" spans="1:14" x14ac:dyDescent="0.25">
      <c r="A9" s="8" t="s">
        <v>50</v>
      </c>
      <c r="B9" s="8" t="s">
        <v>51</v>
      </c>
      <c r="C9" s="8" t="s">
        <v>52</v>
      </c>
      <c r="D9" s="8">
        <v>90</v>
      </c>
      <c r="E9" s="8" t="b">
        <f>ISBLANK(Table1[[#This Row],[Price ($)]])</f>
        <v>0</v>
      </c>
      <c r="F9" s="8">
        <f>IF(ISBLANK(Table1[[#This Row],[Price ($)]]),MEDIAN(Table1[Price ($)]),Table1[[#This Row],[Price ($)]])</f>
        <v>90</v>
      </c>
      <c r="G9" s="10">
        <v>35</v>
      </c>
      <c r="H9" s="8" t="s">
        <v>36</v>
      </c>
      <c r="I9" s="13" t="str">
        <f>IF(ISBLANK(Table1[[#This Row],[Category]]),"Unknown Categoty",Table1[[#This Row],[Category]])</f>
        <v>Kitchen</v>
      </c>
      <c r="L9" s="11" t="s">
        <v>120</v>
      </c>
    </row>
    <row r="10" spans="1:14" x14ac:dyDescent="0.25">
      <c r="A10" s="5" t="s">
        <v>53</v>
      </c>
      <c r="B10" s="5" t="s">
        <v>54</v>
      </c>
      <c r="C10" s="5" t="s">
        <v>55</v>
      </c>
      <c r="D10" s="5">
        <v>500</v>
      </c>
      <c r="E10" s="5" t="b">
        <f>ISBLANK(Table1[[#This Row],[Price ($)]])</f>
        <v>0</v>
      </c>
      <c r="F10" s="5">
        <f>IF(ISBLANK(Table1[[#This Row],[Price ($)]]),MEDIAN(Table1[Price ($)]),Table1[[#This Row],[Price ($)]])</f>
        <v>500</v>
      </c>
      <c r="G10" s="9">
        <v>50</v>
      </c>
      <c r="H10" s="5" t="s">
        <v>28</v>
      </c>
      <c r="I10" s="13" t="str">
        <f>IF(ISBLANK(Table1[[#This Row],[Category]]),"Unknown Categoty",Table1[[#This Row],[Category]])</f>
        <v>Electronics</v>
      </c>
    </row>
    <row r="11" spans="1:14" x14ac:dyDescent="0.25">
      <c r="A11" s="8" t="s">
        <v>56</v>
      </c>
      <c r="B11" s="8" t="s">
        <v>57</v>
      </c>
      <c r="C11" s="8" t="s">
        <v>58</v>
      </c>
      <c r="D11" s="8">
        <v>130</v>
      </c>
      <c r="E11" s="8" t="b">
        <f>ISBLANK(Table1[[#This Row],[Price ($)]])</f>
        <v>0</v>
      </c>
      <c r="F11" s="8">
        <f>IF(ISBLANK(Table1[[#This Row],[Price ($)]]),MEDIAN(Table1[Price ($)]),Table1[[#This Row],[Price ($)]])</f>
        <v>130</v>
      </c>
      <c r="G11" s="10">
        <v>10</v>
      </c>
      <c r="H11" s="8" t="s">
        <v>59</v>
      </c>
      <c r="I11" s="13" t="str">
        <f>IF(ISBLANK(Table1[[#This Row],[Category]]),"Unknown Categoty",Table1[[#This Row],[Category]])</f>
        <v>Outdoor</v>
      </c>
    </row>
    <row r="12" spans="1:14" x14ac:dyDescent="0.25">
      <c r="A12" s="5" t="s">
        <v>60</v>
      </c>
      <c r="B12" s="5" t="s">
        <v>61</v>
      </c>
      <c r="C12" s="5" t="s">
        <v>62</v>
      </c>
      <c r="D12" s="5">
        <v>950</v>
      </c>
      <c r="E12" s="5" t="b">
        <f>ISBLANK(Table1[[#This Row],[Price ($)]])</f>
        <v>0</v>
      </c>
      <c r="F12" s="5">
        <f>IF(ISBLANK(Table1[[#This Row],[Price ($)]]),MEDIAN(Table1[Price ($)]),Table1[[#This Row],[Price ($)]])</f>
        <v>950</v>
      </c>
      <c r="G12" s="9">
        <v>25</v>
      </c>
      <c r="H12" s="5" t="s">
        <v>28</v>
      </c>
      <c r="I12" s="13" t="str">
        <f>IF(ISBLANK(Table1[[#This Row],[Category]]),"Unknown Categoty",Table1[[#This Row],[Category]])</f>
        <v>Electronics</v>
      </c>
    </row>
    <row r="13" spans="1:14" x14ac:dyDescent="0.25">
      <c r="A13" s="8" t="s">
        <v>63</v>
      </c>
      <c r="B13" s="8" t="s">
        <v>30</v>
      </c>
      <c r="C13" s="8" t="s">
        <v>49</v>
      </c>
      <c r="D13" s="8">
        <v>90</v>
      </c>
      <c r="E13" s="8" t="b">
        <f>ISBLANK(Table1[[#This Row],[Price ($)]])</f>
        <v>0</v>
      </c>
      <c r="F13" s="8">
        <f>IF(ISBLANK(Table1[[#This Row],[Price ($)]]),MEDIAN(Table1[Price ($)]),Table1[[#This Row],[Price ($)]])</f>
        <v>90</v>
      </c>
      <c r="G13" s="10">
        <v>40</v>
      </c>
      <c r="H13" s="8"/>
      <c r="I13" s="13" t="str">
        <f>IF(ISBLANK(Table1[[#This Row],[Category]]),"Unknown Categoty",Table1[[#This Row],[Category]])</f>
        <v>Unknown Categoty</v>
      </c>
    </row>
    <row r="14" spans="1:14" x14ac:dyDescent="0.25">
      <c r="A14" s="5" t="s">
        <v>64</v>
      </c>
      <c r="B14" s="5" t="s">
        <v>34</v>
      </c>
      <c r="C14" s="5" t="s">
        <v>65</v>
      </c>
      <c r="D14" s="5">
        <v>120</v>
      </c>
      <c r="E14" s="5" t="b">
        <f>ISBLANK(Table1[[#This Row],[Price ($)]])</f>
        <v>0</v>
      </c>
      <c r="F14" s="5">
        <f>IF(ISBLANK(Table1[[#This Row],[Price ($)]]),MEDIAN(Table1[Price ($)]),Table1[[#This Row],[Price ($)]])</f>
        <v>120</v>
      </c>
      <c r="G14" s="9">
        <v>35</v>
      </c>
      <c r="H14" s="5"/>
      <c r="I14" s="13" t="str">
        <f>IF(ISBLANK(Table1[[#This Row],[Category]]),"Unknown Categoty",Table1[[#This Row],[Category]])</f>
        <v>Unknown Categoty</v>
      </c>
    </row>
    <row r="15" spans="1:14" x14ac:dyDescent="0.25">
      <c r="A15" s="8" t="s">
        <v>66</v>
      </c>
      <c r="B15" s="8" t="s">
        <v>67</v>
      </c>
      <c r="C15" s="8" t="s">
        <v>68</v>
      </c>
      <c r="D15" s="8">
        <v>150</v>
      </c>
      <c r="E15" s="8" t="b">
        <f>ISBLANK(Table1[[#This Row],[Price ($)]])</f>
        <v>0</v>
      </c>
      <c r="F15" s="8">
        <f>IF(ISBLANK(Table1[[#This Row],[Price ($)]]),MEDIAN(Table1[Price ($)]),Table1[[#This Row],[Price ($)]])</f>
        <v>150</v>
      </c>
      <c r="G15" s="10">
        <v>15</v>
      </c>
      <c r="H15" s="8" t="s">
        <v>46</v>
      </c>
      <c r="I15" s="13" t="str">
        <f>IF(ISBLANK(Table1[[#This Row],[Category]]),"Unknown Categoty",Table1[[#This Row],[Category]])</f>
        <v>Electroni</v>
      </c>
    </row>
    <row r="16" spans="1:14" x14ac:dyDescent="0.25">
      <c r="A16" s="5" t="s">
        <v>69</v>
      </c>
      <c r="B16" s="5" t="s">
        <v>70</v>
      </c>
      <c r="C16" s="5" t="s">
        <v>71</v>
      </c>
      <c r="D16" s="5">
        <v>250</v>
      </c>
      <c r="E16" s="5" t="b">
        <f>ISBLANK(Table1[[#This Row],[Price ($)]])</f>
        <v>0</v>
      </c>
      <c r="F16" s="5">
        <f>IF(ISBLANK(Table1[[#This Row],[Price ($)]]),MEDIAN(Table1[Price ($)]),Table1[[#This Row],[Price ($)]])</f>
        <v>250</v>
      </c>
      <c r="G16" s="9">
        <v>20</v>
      </c>
      <c r="H16" s="5" t="s">
        <v>46</v>
      </c>
      <c r="I16" s="13" t="str">
        <f>IF(ISBLANK(Table1[[#This Row],[Category]]),"Unknown Categoty",Table1[[#This Row],[Category]])</f>
        <v>Electroni</v>
      </c>
    </row>
    <row r="17" spans="1:9" x14ac:dyDescent="0.25">
      <c r="A17" s="8" t="s">
        <v>72</v>
      </c>
      <c r="B17" s="8" t="s">
        <v>73</v>
      </c>
      <c r="C17" s="8" t="s">
        <v>74</v>
      </c>
      <c r="D17" s="8">
        <v>50</v>
      </c>
      <c r="E17" s="8" t="b">
        <f>ISBLANK(Table1[[#This Row],[Price ($)]])</f>
        <v>0</v>
      </c>
      <c r="F17" s="8">
        <f>IF(ISBLANK(Table1[[#This Row],[Price ($)]]),MEDIAN(Table1[Price ($)]),Table1[[#This Row],[Price ($)]])</f>
        <v>50</v>
      </c>
      <c r="G17" s="10">
        <v>35</v>
      </c>
      <c r="H17" s="8" t="s">
        <v>75</v>
      </c>
      <c r="I17" s="13" t="str">
        <f>IF(ISBLANK(Table1[[#This Row],[Category]]),"Unknown Categoty",Table1[[#This Row],[Category]])</f>
        <v>Accessories</v>
      </c>
    </row>
    <row r="18" spans="1:9" x14ac:dyDescent="0.25">
      <c r="A18" s="5" t="s">
        <v>76</v>
      </c>
      <c r="B18" s="5" t="s">
        <v>67</v>
      </c>
      <c r="C18" s="5" t="s">
        <v>77</v>
      </c>
      <c r="D18" s="5">
        <v>160</v>
      </c>
      <c r="E18" s="5" t="b">
        <f>ISBLANK(Table1[[#This Row],[Price ($)]])</f>
        <v>0</v>
      </c>
      <c r="F18" s="5">
        <f>IF(ISBLANK(Table1[[#This Row],[Price ($)]]),MEDIAN(Table1[Price ($)]),Table1[[#This Row],[Price ($)]])</f>
        <v>160</v>
      </c>
      <c r="G18" s="9">
        <v>15</v>
      </c>
      <c r="H18" s="5" t="s">
        <v>46</v>
      </c>
      <c r="I18" s="13" t="str">
        <f>IF(ISBLANK(Table1[[#This Row],[Category]]),"Unknown Categoty",Table1[[#This Row],[Category]])</f>
        <v>Electroni</v>
      </c>
    </row>
    <row r="19" spans="1:9" x14ac:dyDescent="0.25">
      <c r="A19" s="8" t="s">
        <v>78</v>
      </c>
      <c r="B19" s="8" t="s">
        <v>26</v>
      </c>
      <c r="C19" s="8" t="s">
        <v>79</v>
      </c>
      <c r="D19" s="8">
        <v>980</v>
      </c>
      <c r="E19" s="8" t="b">
        <f>ISBLANK(Table1[[#This Row],[Price ($)]])</f>
        <v>0</v>
      </c>
      <c r="F19" s="8">
        <f>IF(ISBLANK(Table1[[#This Row],[Price ($)]]),MEDIAN(Table1[Price ($)]),Table1[[#This Row],[Price ($)]])</f>
        <v>980</v>
      </c>
      <c r="G19" s="10">
        <v>10</v>
      </c>
      <c r="H19" s="8" t="s">
        <v>28</v>
      </c>
      <c r="I19" s="13" t="str">
        <f>IF(ISBLANK(Table1[[#This Row],[Category]]),"Unknown Categoty",Table1[[#This Row],[Category]])</f>
        <v>Electronics</v>
      </c>
    </row>
    <row r="20" spans="1:9" x14ac:dyDescent="0.25">
      <c r="A20" s="5" t="s">
        <v>80</v>
      </c>
      <c r="B20" s="5" t="s">
        <v>81</v>
      </c>
      <c r="C20" s="5" t="s">
        <v>82</v>
      </c>
      <c r="D20" s="5">
        <v>150</v>
      </c>
      <c r="E20" s="5" t="b">
        <f>ISBLANK(Table1[[#This Row],[Price ($)]])</f>
        <v>0</v>
      </c>
      <c r="F20" s="5">
        <f>IF(ISBLANK(Table1[[#This Row],[Price ($)]]),MEDIAN(Table1[Price ($)]),Table1[[#This Row],[Price ($)]])</f>
        <v>150</v>
      </c>
      <c r="G20" s="9">
        <v>15</v>
      </c>
      <c r="H20" s="5" t="s">
        <v>32</v>
      </c>
      <c r="I20" s="13" t="str">
        <f>IF(ISBLANK(Table1[[#This Row],[Category]]),"Unknown Categoty",Table1[[#This Row],[Category]])</f>
        <v>Fashion</v>
      </c>
    </row>
    <row r="21" spans="1:9" x14ac:dyDescent="0.25">
      <c r="A21" s="8" t="s">
        <v>83</v>
      </c>
      <c r="B21" s="8" t="s">
        <v>84</v>
      </c>
      <c r="C21" s="8" t="s">
        <v>85</v>
      </c>
      <c r="D21" s="8"/>
      <c r="E21" s="8" t="b">
        <f>ISBLANK(Table1[[#This Row],[Price ($)]])</f>
        <v>1</v>
      </c>
      <c r="F21" s="8">
        <f>IF(ISBLANK(Table1[[#This Row],[Price ($)]]),MEDIAN(Table1[Price ($)]),Table1[[#This Row],[Price ($)]])</f>
        <v>130</v>
      </c>
      <c r="G21" s="10">
        <v>10</v>
      </c>
      <c r="H21" s="8" t="s">
        <v>59</v>
      </c>
      <c r="I21" s="13" t="str">
        <f>IF(ISBLANK(Table1[[#This Row],[Category]]),"Unknown Categoty",Table1[[#This Row],[Category]])</f>
        <v>Outdoor</v>
      </c>
    </row>
    <row r="22" spans="1:9" x14ac:dyDescent="0.25">
      <c r="A22" s="5" t="s">
        <v>86</v>
      </c>
      <c r="B22" s="5" t="s">
        <v>87</v>
      </c>
      <c r="C22" s="5" t="s">
        <v>88</v>
      </c>
      <c r="D22" s="5">
        <v>700</v>
      </c>
      <c r="E22" s="5" t="b">
        <f>ISBLANK(Table1[[#This Row],[Price ($)]])</f>
        <v>0</v>
      </c>
      <c r="F22" s="5">
        <f>IF(ISBLANK(Table1[[#This Row],[Price ($)]]),MEDIAN(Table1[Price ($)]),Table1[[#This Row],[Price ($)]])</f>
        <v>700</v>
      </c>
      <c r="G22" s="9">
        <v>50</v>
      </c>
      <c r="H22" s="5" t="s">
        <v>28</v>
      </c>
      <c r="I22" s="13" t="str">
        <f>IF(ISBLANK(Table1[[#This Row],[Category]]),"Unknown Categoty",Table1[[#This Row],[Category]])</f>
        <v>Electronics</v>
      </c>
    </row>
    <row r="23" spans="1:9" x14ac:dyDescent="0.25">
      <c r="A23" s="8" t="s">
        <v>89</v>
      </c>
      <c r="B23" s="8" t="s">
        <v>90</v>
      </c>
      <c r="C23" s="8" t="s">
        <v>91</v>
      </c>
      <c r="D23" s="8">
        <v>80</v>
      </c>
      <c r="E23" s="8" t="b">
        <f>ISBLANK(Table1[[#This Row],[Price ($)]])</f>
        <v>0</v>
      </c>
      <c r="F23" s="8">
        <f>IF(ISBLANK(Table1[[#This Row],[Price ($)]]),MEDIAN(Table1[Price ($)]),Table1[[#This Row],[Price ($)]])</f>
        <v>80</v>
      </c>
      <c r="G23" s="10">
        <v>20</v>
      </c>
      <c r="H23" s="8" t="s">
        <v>36</v>
      </c>
      <c r="I23" s="13" t="str">
        <f>IF(ISBLANK(Table1[[#This Row],[Category]]),"Unknown Categoty",Table1[[#This Row],[Category]])</f>
        <v>Kitchen</v>
      </c>
    </row>
    <row r="24" spans="1:9" x14ac:dyDescent="0.25">
      <c r="A24" s="5" t="s">
        <v>92</v>
      </c>
      <c r="B24" s="5" t="s">
        <v>93</v>
      </c>
      <c r="C24" s="5" t="s">
        <v>94</v>
      </c>
      <c r="D24" s="5">
        <v>150</v>
      </c>
      <c r="E24" s="5" t="b">
        <f>ISBLANK(Table1[[#This Row],[Price ($)]])</f>
        <v>0</v>
      </c>
      <c r="F24" s="5">
        <f>IF(ISBLANK(Table1[[#This Row],[Price ($)]]),MEDIAN(Table1[Price ($)]),Table1[[#This Row],[Price ($)]])</f>
        <v>150</v>
      </c>
      <c r="G24" s="9">
        <v>30</v>
      </c>
      <c r="H24" s="5"/>
      <c r="I24" s="13" t="str">
        <f>IF(ISBLANK(Table1[[#This Row],[Category]]),"Unknown Categoty",Table1[[#This Row],[Category]])</f>
        <v>Unknown Categoty</v>
      </c>
    </row>
    <row r="25" spans="1:9" x14ac:dyDescent="0.25">
      <c r="A25" s="8" t="s">
        <v>72</v>
      </c>
      <c r="B25" s="8" t="s">
        <v>73</v>
      </c>
      <c r="C25" s="8" t="s">
        <v>74</v>
      </c>
      <c r="D25" s="8">
        <v>50</v>
      </c>
      <c r="E25" s="8" t="b">
        <f>ISBLANK(Table1[[#This Row],[Price ($)]])</f>
        <v>0</v>
      </c>
      <c r="F25" s="8">
        <f>IF(ISBLANK(Table1[[#This Row],[Price ($)]]),MEDIAN(Table1[Price ($)]),Table1[[#This Row],[Price ($)]])</f>
        <v>50</v>
      </c>
      <c r="G25" s="10">
        <v>35</v>
      </c>
      <c r="H25" s="8" t="s">
        <v>75</v>
      </c>
      <c r="I25" s="13" t="str">
        <f>IF(ISBLANK(Table1[[#This Row],[Category]]),"Unknown Categoty",Table1[[#This Row],[Category]])</f>
        <v>Accessories</v>
      </c>
    </row>
    <row r="26" spans="1:9" x14ac:dyDescent="0.25">
      <c r="A26" s="5" t="s">
        <v>95</v>
      </c>
      <c r="B26" s="5" t="s">
        <v>96</v>
      </c>
      <c r="C26" s="5" t="s">
        <v>97</v>
      </c>
      <c r="D26" s="5">
        <v>800</v>
      </c>
      <c r="E26" s="5" t="b">
        <f>ISBLANK(Table1[[#This Row],[Price ($)]])</f>
        <v>0</v>
      </c>
      <c r="F26" s="5">
        <f>IF(ISBLANK(Table1[[#This Row],[Price ($)]]),MEDIAN(Table1[Price ($)]),Table1[[#This Row],[Price ($)]])</f>
        <v>800</v>
      </c>
      <c r="G26" s="9">
        <v>45</v>
      </c>
      <c r="H26" s="5" t="s">
        <v>28</v>
      </c>
      <c r="I26" s="13" t="str">
        <f>IF(ISBLANK(Table1[[#This Row],[Category]]),"Unknown Categoty",Table1[[#This Row],[Category]])</f>
        <v>Electronics</v>
      </c>
    </row>
    <row r="27" spans="1:9" x14ac:dyDescent="0.25">
      <c r="A27" s="8" t="s">
        <v>98</v>
      </c>
      <c r="B27" s="8" t="s">
        <v>81</v>
      </c>
      <c r="C27" s="8" t="s">
        <v>99</v>
      </c>
      <c r="D27" s="8"/>
      <c r="E27" s="8" t="b">
        <f>ISBLANK(Table1[[#This Row],[Price ($)]])</f>
        <v>1</v>
      </c>
      <c r="F27" s="8">
        <f>IF(ISBLANK(Table1[[#This Row],[Price ($)]]),MEDIAN(Table1[Price ($)]),Table1[[#This Row],[Price ($)]])</f>
        <v>130</v>
      </c>
      <c r="G27" s="10">
        <v>25</v>
      </c>
      <c r="H27" s="8" t="s">
        <v>32</v>
      </c>
      <c r="I27" s="13" t="str">
        <f>IF(ISBLANK(Table1[[#This Row],[Category]]),"Unknown Categoty",Table1[[#This Row],[Category]])</f>
        <v>Fashion</v>
      </c>
    </row>
    <row r="28" spans="1:9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 t="b">
        <f>ISBLANK(Table1[[#This Row],[Price ($)]])</f>
        <v>0</v>
      </c>
      <c r="F28" s="5">
        <f>IF(ISBLANK(Table1[[#This Row],[Price ($)]]),MEDIAN(Table1[Price ($)]),Table1[[#This Row],[Price ($)]])</f>
        <v>400</v>
      </c>
      <c r="G28" s="9">
        <v>40</v>
      </c>
      <c r="H28" s="5" t="s">
        <v>36</v>
      </c>
      <c r="I28" s="13" t="str">
        <f>IF(ISBLANK(Table1[[#This Row],[Category]]),"Unknown Categoty",Table1[[#This Row],[Category]])</f>
        <v>Kitchen</v>
      </c>
    </row>
    <row r="29" spans="1:9" x14ac:dyDescent="0.25">
      <c r="A29" s="8" t="s">
        <v>69</v>
      </c>
      <c r="B29" s="8" t="s">
        <v>70</v>
      </c>
      <c r="C29" s="8" t="s">
        <v>71</v>
      </c>
      <c r="D29" s="8">
        <v>250</v>
      </c>
      <c r="E29" s="8" t="b">
        <f>ISBLANK(Table1[[#This Row],[Price ($)]])</f>
        <v>0</v>
      </c>
      <c r="F29" s="8">
        <f>IF(ISBLANK(Table1[[#This Row],[Price ($)]]),MEDIAN(Table1[Price ($)]),Table1[[#This Row],[Price ($)]])</f>
        <v>250</v>
      </c>
      <c r="G29" s="10">
        <v>20</v>
      </c>
      <c r="H29" s="8" t="s">
        <v>46</v>
      </c>
      <c r="I29" s="13" t="str">
        <f>IF(ISBLANK(Table1[[#This Row],[Category]]),"Unknown Categoty",Table1[[#This Row],[Category]])</f>
        <v>Electroni</v>
      </c>
    </row>
    <row r="30" spans="1:9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 t="b">
        <f>ISBLANK(Table1[[#This Row],[Price ($)]])</f>
        <v>0</v>
      </c>
      <c r="F30" s="5">
        <f>IF(ISBLANK(Table1[[#This Row],[Price ($)]]),MEDIAN(Table1[Price ($)]),Table1[[#This Row],[Price ($)]])</f>
        <v>60</v>
      </c>
      <c r="G30" s="9">
        <v>30</v>
      </c>
      <c r="H30" s="5" t="s">
        <v>32</v>
      </c>
      <c r="I30" s="13" t="str">
        <f>IF(ISBLANK(Table1[[#This Row],[Category]]),"Unknown Categoty",Table1[[#This Row],[Category]])</f>
        <v>Fashion</v>
      </c>
    </row>
    <row r="31" spans="1:9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 t="b">
        <f>ISBLANK(Table1[[#This Row],[Price ($)]])</f>
        <v>0</v>
      </c>
      <c r="F31" s="8">
        <f>IF(ISBLANK(Table1[[#This Row],[Price ($)]]),MEDIAN(Table1[Price ($)]),Table1[[#This Row],[Price ($)]])</f>
        <v>40</v>
      </c>
      <c r="G31" s="10">
        <v>10</v>
      </c>
      <c r="H31" s="8" t="s">
        <v>36</v>
      </c>
      <c r="I31" s="13" t="str">
        <f>IF(ISBLANK(Table1[[#This Row],[Category]]),"Unknown Categoty",Table1[[#This Row],[Category]])</f>
        <v>Kitchen</v>
      </c>
    </row>
    <row r="32" spans="1:9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 t="b">
        <f>ISBLANK(Table1[[#This Row],[Price ($)]])</f>
        <v>0</v>
      </c>
      <c r="F32" s="5">
        <f>IF(ISBLANK(Table1[[#This Row],[Price ($)]]),MEDIAN(Table1[Price ($)]),Table1[[#This Row],[Price ($)]])</f>
        <v>130</v>
      </c>
      <c r="G32" s="9">
        <v>5</v>
      </c>
      <c r="H32" s="5" t="s">
        <v>28</v>
      </c>
      <c r="I32" s="13" t="str">
        <f>IF(ISBLANK(Table1[[#This Row],[Category]]),"Unknown Categoty",Table1[[#This Row],[Category]])</f>
        <v>Electronics</v>
      </c>
    </row>
    <row r="33" spans="1:9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 t="b">
        <f>ISBLANK(Table1[[#This Row],[Price ($)]])</f>
        <v>0</v>
      </c>
      <c r="F33" s="8">
        <f>IF(ISBLANK(Table1[[#This Row],[Price ($)]]),MEDIAN(Table1[Price ($)]),Table1[[#This Row],[Price ($)]])</f>
        <v>50</v>
      </c>
      <c r="G33" s="10">
        <v>50</v>
      </c>
      <c r="H33" s="8" t="s">
        <v>32</v>
      </c>
      <c r="I33" s="13" t="str">
        <f>IF(ISBLANK(Table1[[#This Row],[Category]]),"Unknown Categoty",Table1[[#This Row],[Category]])</f>
        <v>Fashion</v>
      </c>
    </row>
    <row r="34" spans="1:9" x14ac:dyDescent="0.25">
      <c r="A34" s="5" t="s">
        <v>60</v>
      </c>
      <c r="B34" s="5" t="s">
        <v>61</v>
      </c>
      <c r="C34" s="5" t="s">
        <v>62</v>
      </c>
      <c r="D34" s="5">
        <v>950</v>
      </c>
      <c r="E34" s="5" t="b">
        <f>ISBLANK(Table1[[#This Row],[Price ($)]])</f>
        <v>0</v>
      </c>
      <c r="F34" s="5">
        <f>IF(ISBLANK(Table1[[#This Row],[Price ($)]]),MEDIAN(Table1[Price ($)]),Table1[[#This Row],[Price ($)]])</f>
        <v>950</v>
      </c>
      <c r="G34" s="9">
        <v>25</v>
      </c>
      <c r="H34" s="5" t="s">
        <v>28</v>
      </c>
      <c r="I34" s="13" t="str">
        <f>IF(ISBLANK(Table1[[#This Row],[Category]]),"Unknown Categoty",Table1[[#This Row],[Category]])</f>
        <v>Electronics</v>
      </c>
    </row>
    <row r="35" spans="1:9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 t="b">
        <f>ISBLANK(Table1[[#This Row],[Price ($)]])</f>
        <v>0</v>
      </c>
      <c r="F35" s="8">
        <f>IF(ISBLANK(Table1[[#This Row],[Price ($)]]),MEDIAN(Table1[Price ($)]),Table1[[#This Row],[Price ($)]])</f>
        <v>100</v>
      </c>
      <c r="G35" s="10">
        <v>20</v>
      </c>
      <c r="H35" s="8" t="s">
        <v>75</v>
      </c>
      <c r="I35" s="13" t="str">
        <f>IF(ISBLANK(Table1[[#This Row],[Category]]),"Unknown Categoty",Table1[[#This Row],[Category]])</f>
        <v>Accessories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3D74-2026-4942-B662-981AD95FBFD6}">
  <dimension ref="A1:U35"/>
  <sheetViews>
    <sheetView topLeftCell="B16" zoomScale="102" zoomScaleNormal="100" workbookViewId="0">
      <selection activeCell="J30" sqref="J30"/>
    </sheetView>
  </sheetViews>
  <sheetFormatPr defaultRowHeight="12.5" x14ac:dyDescent="0.25"/>
  <cols>
    <col min="1" max="1" width="11.90625" customWidth="1"/>
    <col min="2" max="2" width="15" customWidth="1"/>
    <col min="3" max="3" width="19.90625" customWidth="1"/>
    <col min="4" max="4" width="10" customWidth="1"/>
    <col min="5" max="5" width="10.1796875" customWidth="1"/>
    <col min="6" max="6" width="10.6328125" customWidth="1"/>
    <col min="7" max="7" width="12.1796875" customWidth="1"/>
    <col min="8" max="8" width="15.6328125" customWidth="1"/>
    <col min="11" max="11" width="22.26953125" customWidth="1"/>
    <col min="13" max="13" width="22.81640625" customWidth="1"/>
  </cols>
  <sheetData>
    <row r="1" spans="1:21" ht="13" x14ac:dyDescent="0.3">
      <c r="A1" s="7" t="s">
        <v>19</v>
      </c>
      <c r="B1" s="7" t="s">
        <v>20</v>
      </c>
      <c r="C1" s="12" t="s">
        <v>129</v>
      </c>
      <c r="D1" s="7" t="s">
        <v>21</v>
      </c>
      <c r="E1" s="7" t="s">
        <v>22</v>
      </c>
      <c r="F1" s="7" t="s">
        <v>23</v>
      </c>
      <c r="G1" s="7" t="s">
        <v>24</v>
      </c>
      <c r="H1" s="12" t="s">
        <v>130</v>
      </c>
    </row>
    <row r="2" spans="1:21" x14ac:dyDescent="0.25">
      <c r="A2" s="5" t="s">
        <v>25</v>
      </c>
      <c r="B2" s="5" t="s">
        <v>26</v>
      </c>
      <c r="C2" s="5" t="str">
        <f>PROPER(TRIM(Table2[[#This Row],[Product Name]]))</f>
        <v>Laptop</v>
      </c>
      <c r="D2" s="5" t="s">
        <v>27</v>
      </c>
      <c r="E2" s="5">
        <v>1000</v>
      </c>
      <c r="F2" s="9">
        <v>30</v>
      </c>
      <c r="G2" s="5" t="s">
        <v>28</v>
      </c>
      <c r="H2" s="5" t="str">
        <f>IF(ISBLANK(Table2[[#This Row],[Category]]),"Unknown Categoty",Table2[[#This Row],[Category]])</f>
        <v>Electronics</v>
      </c>
    </row>
    <row r="3" spans="1:21" ht="15" x14ac:dyDescent="0.3">
      <c r="A3" s="8" t="s">
        <v>29</v>
      </c>
      <c r="B3" s="8" t="s">
        <v>30</v>
      </c>
      <c r="C3" s="8" t="str">
        <f>PROPER(TRIM(Table2[[#This Row],[Product Name]]))</f>
        <v>Sneakers</v>
      </c>
      <c r="D3" s="8" t="s">
        <v>31</v>
      </c>
      <c r="E3" s="8">
        <v>80</v>
      </c>
      <c r="F3" s="10">
        <v>15</v>
      </c>
      <c r="G3" s="8" t="s">
        <v>32</v>
      </c>
      <c r="H3" s="5" t="str">
        <f>IF(ISBLANK(Table2[[#This Row],[Category]]),"Unknown Categoty",Table2[[#This Row],[Category]])</f>
        <v>Fashion</v>
      </c>
      <c r="K3" s="14" t="s">
        <v>4</v>
      </c>
    </row>
    <row r="4" spans="1:21" ht="15.5" x14ac:dyDescent="0.35">
      <c r="A4" s="5" t="s">
        <v>33</v>
      </c>
      <c r="B4" s="5" t="s">
        <v>34</v>
      </c>
      <c r="C4" s="5" t="str">
        <f>PROPER(TRIM(Table2[[#This Row],[Product Name]]))</f>
        <v>Coffee Maker</v>
      </c>
      <c r="D4" s="5" t="s">
        <v>35</v>
      </c>
      <c r="E4" s="5">
        <v>130</v>
      </c>
      <c r="F4" s="9">
        <v>40</v>
      </c>
      <c r="G4" s="5" t="s">
        <v>36</v>
      </c>
      <c r="H4" s="5" t="str">
        <f>IF(ISBLANK(Table2[[#This Row],[Category]]),"Unknown Categoty",Table2[[#This Row],[Category]])</f>
        <v>Kitchen</v>
      </c>
      <c r="L4" s="15" t="s">
        <v>5</v>
      </c>
    </row>
    <row r="5" spans="1:21" x14ac:dyDescent="0.25">
      <c r="A5" s="8" t="s">
        <v>37</v>
      </c>
      <c r="B5" s="8" t="s">
        <v>38</v>
      </c>
      <c r="C5" s="8" t="str">
        <f>PROPER(TRIM(Table2[[#This Row],[Product Name]]))</f>
        <v>Smartphone</v>
      </c>
      <c r="D5" s="8" t="s">
        <v>39</v>
      </c>
      <c r="E5" s="8">
        <v>900</v>
      </c>
      <c r="F5" s="10">
        <v>25</v>
      </c>
      <c r="G5" s="8" t="s">
        <v>28</v>
      </c>
      <c r="H5" s="5" t="str">
        <f>IF(ISBLANK(Table2[[#This Row],[Category]]),"Unknown Categoty",Table2[[#This Row],[Category]])</f>
        <v>Electronics</v>
      </c>
      <c r="L5" t="s">
        <v>124</v>
      </c>
      <c r="U5" t="s">
        <v>125</v>
      </c>
    </row>
    <row r="6" spans="1:21" x14ac:dyDescent="0.25">
      <c r="A6" s="5" t="s">
        <v>40</v>
      </c>
      <c r="B6" s="5" t="s">
        <v>41</v>
      </c>
      <c r="C6" s="5" t="str">
        <f>PROPER(TRIM(Table2[[#This Row],[Product Name]]))</f>
        <v>Backpack</v>
      </c>
      <c r="D6" s="5" t="s">
        <v>42</v>
      </c>
      <c r="E6" s="5">
        <v>70</v>
      </c>
      <c r="F6" s="9">
        <v>20</v>
      </c>
      <c r="G6" s="5"/>
      <c r="H6" s="5" t="str">
        <f>IF(ISBLANK(Table2[[#This Row],[Category]]),"Unknown Categoty",Table2[[#This Row],[Category]])</f>
        <v>Unknown Categoty</v>
      </c>
      <c r="L6" t="s">
        <v>126</v>
      </c>
    </row>
    <row r="7" spans="1:21" ht="15.5" x14ac:dyDescent="0.35">
      <c r="A7" s="8" t="s">
        <v>43</v>
      </c>
      <c r="B7" s="8" t="s">
        <v>44</v>
      </c>
      <c r="C7" s="8" t="str">
        <f>PROPER(TRIM(Table2[[#This Row],[Product Name]]))</f>
        <v>Headphones</v>
      </c>
      <c r="D7" s="8" t="s">
        <v>45</v>
      </c>
      <c r="E7" s="8"/>
      <c r="F7" s="10">
        <v>45</v>
      </c>
      <c r="G7" s="8" t="s">
        <v>28</v>
      </c>
      <c r="H7" s="5" t="str">
        <f>IF(ISBLANK(Table2[[#This Row],[Category]]),"Unknown Categoty",Table2[[#This Row],[Category]])</f>
        <v>Electronics</v>
      </c>
      <c r="L7" s="15" t="s">
        <v>6</v>
      </c>
    </row>
    <row r="8" spans="1:21" x14ac:dyDescent="0.25">
      <c r="A8" s="5" t="s">
        <v>47</v>
      </c>
      <c r="B8" s="5" t="s">
        <v>48</v>
      </c>
      <c r="C8" s="5" t="str">
        <f>PROPER(TRIM(Table2[[#This Row],[Product Name]]))</f>
        <v>T-Shirt</v>
      </c>
      <c r="D8" s="5" t="s">
        <v>49</v>
      </c>
      <c r="E8" s="5">
        <v>30</v>
      </c>
      <c r="F8" s="9">
        <v>5</v>
      </c>
      <c r="G8" s="5" t="s">
        <v>32</v>
      </c>
      <c r="H8" s="5" t="str">
        <f>IF(ISBLANK(Table2[[#This Row],[Category]]),"Unknown Categoty",Table2[[#This Row],[Category]])</f>
        <v>Fashion</v>
      </c>
      <c r="L8" t="s">
        <v>127</v>
      </c>
      <c r="N8" t="s">
        <v>128</v>
      </c>
    </row>
    <row r="9" spans="1:21" ht="15.5" x14ac:dyDescent="0.35">
      <c r="A9" s="8" t="s">
        <v>50</v>
      </c>
      <c r="B9" s="8" t="s">
        <v>51</v>
      </c>
      <c r="C9" s="8" t="str">
        <f>PROPER(TRIM(Table2[[#This Row],[Product Name]]))</f>
        <v>Blender</v>
      </c>
      <c r="D9" s="8" t="s">
        <v>52</v>
      </c>
      <c r="E9" s="8">
        <v>90</v>
      </c>
      <c r="F9" s="10">
        <v>35</v>
      </c>
      <c r="G9" s="8" t="s">
        <v>36</v>
      </c>
      <c r="H9" s="5" t="str">
        <f>IF(ISBLANK(Table2[[#This Row],[Category]]),"Unknown Categoty",Table2[[#This Row],[Category]])</f>
        <v>Kitchen</v>
      </c>
      <c r="L9" s="15" t="s">
        <v>7</v>
      </c>
    </row>
    <row r="10" spans="1:21" x14ac:dyDescent="0.25">
      <c r="A10" s="5" t="s">
        <v>53</v>
      </c>
      <c r="B10" s="5" t="s">
        <v>54</v>
      </c>
      <c r="C10" s="5" t="str">
        <f>PROPER(TRIM(Table2[[#This Row],[Product Name]]))</f>
        <v>Tablet</v>
      </c>
      <c r="D10" s="5" t="s">
        <v>55</v>
      </c>
      <c r="E10" s="5">
        <v>500</v>
      </c>
      <c r="F10" s="9">
        <v>50</v>
      </c>
      <c r="G10" s="5" t="s">
        <v>28</v>
      </c>
      <c r="H10" s="5" t="str">
        <f>IF(ISBLANK(Table2[[#This Row],[Category]]),"Unknown Categoty",Table2[[#This Row],[Category]])</f>
        <v>Electronics</v>
      </c>
    </row>
    <row r="11" spans="1:21" x14ac:dyDescent="0.25">
      <c r="A11" s="8" t="s">
        <v>56</v>
      </c>
      <c r="B11" s="8" t="s">
        <v>57</v>
      </c>
      <c r="C11" s="8" t="str">
        <f>PROPER(TRIM(Table2[[#This Row],[Product Name]]))</f>
        <v>Hiking Boots</v>
      </c>
      <c r="D11" s="8" t="s">
        <v>58</v>
      </c>
      <c r="E11" s="8">
        <v>130</v>
      </c>
      <c r="F11" s="10">
        <v>10</v>
      </c>
      <c r="G11" s="8" t="s">
        <v>59</v>
      </c>
      <c r="H11" s="5" t="str">
        <f>IF(ISBLANK(Table2[[#This Row],[Category]]),"Unknown Categoty",Table2[[#This Row],[Category]])</f>
        <v>Outdoor</v>
      </c>
    </row>
    <row r="12" spans="1:21" x14ac:dyDescent="0.25">
      <c r="A12" s="5" t="s">
        <v>60</v>
      </c>
      <c r="B12" s="5" t="s">
        <v>61</v>
      </c>
      <c r="C12" s="5" t="str">
        <f>PROPER(TRIM(Table2[[#This Row],[Product Name]]))</f>
        <v>Laptop</v>
      </c>
      <c r="D12" s="5" t="s">
        <v>62</v>
      </c>
      <c r="E12" s="5">
        <v>950</v>
      </c>
      <c r="F12" s="9">
        <v>25</v>
      </c>
      <c r="G12" s="5" t="s">
        <v>28</v>
      </c>
      <c r="H12" s="5" t="str">
        <f>IF(ISBLANK(Table2[[#This Row],[Category]]),"Unknown Categoty",Table2[[#This Row],[Category]])</f>
        <v>Electronics</v>
      </c>
    </row>
    <row r="13" spans="1:21" x14ac:dyDescent="0.25">
      <c r="A13" s="8" t="s">
        <v>63</v>
      </c>
      <c r="B13" s="8" t="s">
        <v>30</v>
      </c>
      <c r="C13" s="8" t="str">
        <f>PROPER(TRIM(Table2[[#This Row],[Product Name]]))</f>
        <v>Sneakers</v>
      </c>
      <c r="D13" s="8" t="s">
        <v>49</v>
      </c>
      <c r="E13" s="8">
        <v>90</v>
      </c>
      <c r="F13" s="10">
        <v>40</v>
      </c>
      <c r="G13" s="8"/>
      <c r="H13" s="5" t="str">
        <f>IF(ISBLANK(Table2[[#This Row],[Category]]),"Unknown Categoty",Table2[[#This Row],[Category]])</f>
        <v>Unknown Categoty</v>
      </c>
    </row>
    <row r="14" spans="1:21" x14ac:dyDescent="0.25">
      <c r="A14" s="5" t="s">
        <v>64</v>
      </c>
      <c r="B14" s="5" t="s">
        <v>34</v>
      </c>
      <c r="C14" s="5" t="str">
        <f>PROPER(TRIM(Table2[[#This Row],[Product Name]]))</f>
        <v>Coffee Maker</v>
      </c>
      <c r="D14" s="5" t="s">
        <v>65</v>
      </c>
      <c r="E14" s="5">
        <v>120</v>
      </c>
      <c r="F14" s="9">
        <v>35</v>
      </c>
      <c r="G14" s="5"/>
      <c r="H14" s="5" t="str">
        <f>IF(ISBLANK(Table2[[#This Row],[Category]]),"Unknown Categoty",Table2[[#This Row],[Category]])</f>
        <v>Unknown Categoty</v>
      </c>
    </row>
    <row r="15" spans="1:21" x14ac:dyDescent="0.25">
      <c r="A15" s="8" t="s">
        <v>66</v>
      </c>
      <c r="B15" s="8" t="s">
        <v>67</v>
      </c>
      <c r="C15" s="8" t="str">
        <f>PROPER(TRIM(Table2[[#This Row],[Product Name]]))</f>
        <v>Smartwatch</v>
      </c>
      <c r="D15" s="8" t="s">
        <v>68</v>
      </c>
      <c r="E15" s="8">
        <v>150</v>
      </c>
      <c r="F15" s="10">
        <v>15</v>
      </c>
      <c r="G15" s="8" t="s">
        <v>28</v>
      </c>
      <c r="H15" s="5" t="str">
        <f>IF(ISBLANK(Table2[[#This Row],[Category]]),"Unknown Categoty",Table2[[#This Row],[Category]])</f>
        <v>Electronics</v>
      </c>
    </row>
    <row r="16" spans="1:21" x14ac:dyDescent="0.25">
      <c r="A16" s="5" t="s">
        <v>69</v>
      </c>
      <c r="B16" s="5" t="s">
        <v>70</v>
      </c>
      <c r="C16" s="5" t="str">
        <f>PROPER(TRIM(Table2[[#This Row],[Product Name]]))</f>
        <v>Headphones</v>
      </c>
      <c r="D16" s="5" t="s">
        <v>71</v>
      </c>
      <c r="E16" s="5">
        <v>250</v>
      </c>
      <c r="F16" s="9">
        <v>20</v>
      </c>
      <c r="G16" s="5" t="s">
        <v>28</v>
      </c>
      <c r="H16" s="5" t="str">
        <f>IF(ISBLANK(Table2[[#This Row],[Category]]),"Unknown Categoty",Table2[[#This Row],[Category]])</f>
        <v>Electronics</v>
      </c>
    </row>
    <row r="17" spans="1:8" x14ac:dyDescent="0.25">
      <c r="A17" s="8" t="s">
        <v>72</v>
      </c>
      <c r="B17" s="8" t="s">
        <v>73</v>
      </c>
      <c r="C17" s="8" t="str">
        <f>PROPER(TRIM(Table2[[#This Row],[Product Name]]))</f>
        <v>Laptop Bag</v>
      </c>
      <c r="D17" s="8" t="s">
        <v>74</v>
      </c>
      <c r="E17" s="8">
        <v>50</v>
      </c>
      <c r="F17" s="10">
        <v>35</v>
      </c>
      <c r="G17" s="8" t="s">
        <v>75</v>
      </c>
      <c r="H17" s="5" t="str">
        <f>IF(ISBLANK(Table2[[#This Row],[Category]]),"Unknown Categoty",Table2[[#This Row],[Category]])</f>
        <v>Accessories</v>
      </c>
    </row>
    <row r="18" spans="1:8" x14ac:dyDescent="0.25">
      <c r="A18" s="5" t="s">
        <v>76</v>
      </c>
      <c r="B18" s="5" t="s">
        <v>67</v>
      </c>
      <c r="C18" s="5" t="str">
        <f>PROPER(TRIM(Table2[[#This Row],[Product Name]]))</f>
        <v>Smartwatch</v>
      </c>
      <c r="D18" s="5" t="s">
        <v>77</v>
      </c>
      <c r="E18" s="5">
        <v>160</v>
      </c>
      <c r="F18" s="9">
        <v>15</v>
      </c>
      <c r="G18" s="5" t="s">
        <v>28</v>
      </c>
      <c r="H18" s="5" t="str">
        <f>IF(ISBLANK(Table2[[#This Row],[Category]]),"Unknown Categoty",Table2[[#This Row],[Category]])</f>
        <v>Electronics</v>
      </c>
    </row>
    <row r="19" spans="1:8" x14ac:dyDescent="0.25">
      <c r="A19" s="8" t="s">
        <v>78</v>
      </c>
      <c r="B19" s="8" t="s">
        <v>26</v>
      </c>
      <c r="C19" s="8" t="str">
        <f>PROPER(TRIM(Table2[[#This Row],[Product Name]]))</f>
        <v>Laptop</v>
      </c>
      <c r="D19" s="8" t="s">
        <v>79</v>
      </c>
      <c r="E19" s="8">
        <v>980</v>
      </c>
      <c r="F19" s="10">
        <v>10</v>
      </c>
      <c r="G19" s="8" t="s">
        <v>28</v>
      </c>
      <c r="H19" s="5" t="str">
        <f>IF(ISBLANK(Table2[[#This Row],[Category]]),"Unknown Categoty",Table2[[#This Row],[Category]])</f>
        <v>Electronics</v>
      </c>
    </row>
    <row r="20" spans="1:8" x14ac:dyDescent="0.25">
      <c r="A20" s="5" t="s">
        <v>80</v>
      </c>
      <c r="B20" s="5" t="s">
        <v>81</v>
      </c>
      <c r="C20" s="5" t="str">
        <f>PROPER(TRIM(Table2[[#This Row],[Product Name]]))</f>
        <v>Sunglasses</v>
      </c>
      <c r="D20" s="5" t="s">
        <v>82</v>
      </c>
      <c r="E20" s="5">
        <v>150</v>
      </c>
      <c r="F20" s="9">
        <v>15</v>
      </c>
      <c r="G20" s="5" t="s">
        <v>32</v>
      </c>
      <c r="H20" s="5" t="str">
        <f>IF(ISBLANK(Table2[[#This Row],[Category]]),"Unknown Categoty",Table2[[#This Row],[Category]])</f>
        <v>Fashion</v>
      </c>
    </row>
    <row r="21" spans="1:8" x14ac:dyDescent="0.25">
      <c r="A21" s="8" t="s">
        <v>83</v>
      </c>
      <c r="B21" s="8" t="s">
        <v>84</v>
      </c>
      <c r="C21" s="8" t="str">
        <f>PROPER(TRIM(Table2[[#This Row],[Product Name]]))</f>
        <v>Camping Tent</v>
      </c>
      <c r="D21" s="8" t="s">
        <v>85</v>
      </c>
      <c r="E21" s="8"/>
      <c r="F21" s="10">
        <v>10</v>
      </c>
      <c r="G21" s="8" t="s">
        <v>59</v>
      </c>
      <c r="H21" s="5" t="str">
        <f>IF(ISBLANK(Table2[[#This Row],[Category]]),"Unknown Categoty",Table2[[#This Row],[Category]])</f>
        <v>Outdoor</v>
      </c>
    </row>
    <row r="22" spans="1:8" x14ac:dyDescent="0.25">
      <c r="A22" s="5" t="s">
        <v>86</v>
      </c>
      <c r="B22" s="5" t="s">
        <v>87</v>
      </c>
      <c r="C22" s="5" t="str">
        <f>PROPER(TRIM(Table2[[#This Row],[Product Name]]))</f>
        <v>Camera</v>
      </c>
      <c r="D22" s="5" t="s">
        <v>88</v>
      </c>
      <c r="E22" s="5">
        <v>700</v>
      </c>
      <c r="F22" s="9">
        <v>50</v>
      </c>
      <c r="G22" s="5" t="s">
        <v>28</v>
      </c>
      <c r="H22" s="5" t="str">
        <f>IF(ISBLANK(Table2[[#This Row],[Category]]),"Unknown Categoty",Table2[[#This Row],[Category]])</f>
        <v>Electronics</v>
      </c>
    </row>
    <row r="23" spans="1:8" x14ac:dyDescent="0.25">
      <c r="A23" s="8" t="s">
        <v>89</v>
      </c>
      <c r="B23" s="8" t="s">
        <v>90</v>
      </c>
      <c r="C23" s="8" t="str">
        <f>PROPER(TRIM(Table2[[#This Row],[Product Name]]))</f>
        <v>Microwave</v>
      </c>
      <c r="D23" s="8" t="s">
        <v>91</v>
      </c>
      <c r="E23" s="8">
        <v>80</v>
      </c>
      <c r="F23" s="10">
        <v>20</v>
      </c>
      <c r="G23" s="8" t="s">
        <v>36</v>
      </c>
      <c r="H23" s="5" t="str">
        <f>IF(ISBLANK(Table2[[#This Row],[Category]]),"Unknown Categoty",Table2[[#This Row],[Category]])</f>
        <v>Kitchen</v>
      </c>
    </row>
    <row r="24" spans="1:8" x14ac:dyDescent="0.25">
      <c r="A24" s="5" t="s">
        <v>92</v>
      </c>
      <c r="B24" s="5" t="s">
        <v>93</v>
      </c>
      <c r="C24" s="5" t="str">
        <f>PROPER(TRIM(Table2[[#This Row],[Product Name]]))</f>
        <v>Fitness Tracker</v>
      </c>
      <c r="D24" s="5" t="s">
        <v>94</v>
      </c>
      <c r="E24" s="5">
        <v>150</v>
      </c>
      <c r="F24" s="9">
        <v>30</v>
      </c>
      <c r="G24" s="5"/>
      <c r="H24" s="5" t="str">
        <f>IF(ISBLANK(Table2[[#This Row],[Category]]),"Unknown Categoty",Table2[[#This Row],[Category]])</f>
        <v>Unknown Categoty</v>
      </c>
    </row>
    <row r="25" spans="1:8" x14ac:dyDescent="0.25">
      <c r="A25" s="8" t="s">
        <v>72</v>
      </c>
      <c r="B25" s="8" t="s">
        <v>73</v>
      </c>
      <c r="C25" s="8" t="str">
        <f>PROPER(TRIM(Table2[[#This Row],[Product Name]]))</f>
        <v>Laptop Bag</v>
      </c>
      <c r="D25" s="8" t="s">
        <v>74</v>
      </c>
      <c r="E25" s="8">
        <v>50</v>
      </c>
      <c r="F25" s="10">
        <v>35</v>
      </c>
      <c r="G25" s="8" t="s">
        <v>75</v>
      </c>
      <c r="H25" s="5" t="str">
        <f>IF(ISBLANK(Table2[[#This Row],[Category]]),"Unknown Categoty",Table2[[#This Row],[Category]])</f>
        <v>Accessories</v>
      </c>
    </row>
    <row r="26" spans="1:8" x14ac:dyDescent="0.25">
      <c r="A26" s="5" t="s">
        <v>95</v>
      </c>
      <c r="B26" s="5" t="s">
        <v>96</v>
      </c>
      <c r="C26" s="5" t="str">
        <f>PROPER(TRIM(Table2[[#This Row],[Product Name]]))</f>
        <v>Smartphone</v>
      </c>
      <c r="D26" s="5" t="s">
        <v>97</v>
      </c>
      <c r="E26" s="5">
        <v>800</v>
      </c>
      <c r="F26" s="9">
        <v>45</v>
      </c>
      <c r="G26" s="5" t="s">
        <v>28</v>
      </c>
      <c r="H26" s="5" t="str">
        <f>IF(ISBLANK(Table2[[#This Row],[Category]]),"Unknown Categoty",Table2[[#This Row],[Category]])</f>
        <v>Electronics</v>
      </c>
    </row>
    <row r="27" spans="1:8" x14ac:dyDescent="0.25">
      <c r="A27" s="8" t="s">
        <v>98</v>
      </c>
      <c r="B27" s="8" t="s">
        <v>81</v>
      </c>
      <c r="C27" s="8" t="str">
        <f>PROPER(TRIM(Table2[[#This Row],[Product Name]]))</f>
        <v>Sunglasses</v>
      </c>
      <c r="D27" s="8" t="s">
        <v>99</v>
      </c>
      <c r="E27" s="8"/>
      <c r="F27" s="10">
        <v>25</v>
      </c>
      <c r="G27" s="8" t="s">
        <v>32</v>
      </c>
      <c r="H27" s="5" t="str">
        <f>IF(ISBLANK(Table2[[#This Row],[Category]]),"Unknown Categoty",Table2[[#This Row],[Category]])</f>
        <v>Fashion</v>
      </c>
    </row>
    <row r="28" spans="1:8" x14ac:dyDescent="0.25">
      <c r="A28" s="5" t="s">
        <v>100</v>
      </c>
      <c r="B28" s="5" t="s">
        <v>51</v>
      </c>
      <c r="C28" s="5" t="str">
        <f>PROPER(TRIM(Table2[[#This Row],[Product Name]]))</f>
        <v>Blender</v>
      </c>
      <c r="D28" s="5" t="s">
        <v>101</v>
      </c>
      <c r="E28" s="5">
        <v>400</v>
      </c>
      <c r="F28" s="9">
        <v>40</v>
      </c>
      <c r="G28" s="5" t="s">
        <v>36</v>
      </c>
      <c r="H28" s="5" t="str">
        <f>IF(ISBLANK(Table2[[#This Row],[Category]]),"Unknown Categoty",Table2[[#This Row],[Category]])</f>
        <v>Kitchen</v>
      </c>
    </row>
    <row r="29" spans="1:8" x14ac:dyDescent="0.25">
      <c r="A29" s="8" t="s">
        <v>69</v>
      </c>
      <c r="B29" s="8" t="s">
        <v>70</v>
      </c>
      <c r="C29" s="8" t="str">
        <f>PROPER(TRIM(Table2[[#This Row],[Product Name]]))</f>
        <v>Headphones</v>
      </c>
      <c r="D29" s="8" t="s">
        <v>71</v>
      </c>
      <c r="E29" s="8">
        <v>250</v>
      </c>
      <c r="F29" s="10">
        <v>20</v>
      </c>
      <c r="G29" s="8" t="s">
        <v>28</v>
      </c>
      <c r="H29" s="5" t="str">
        <f>IF(ISBLANK(Table2[[#This Row],[Category]]),"Unknown Categoty",Table2[[#This Row],[Category]])</f>
        <v>Electronics</v>
      </c>
    </row>
    <row r="30" spans="1:8" x14ac:dyDescent="0.25">
      <c r="A30" s="5" t="s">
        <v>102</v>
      </c>
      <c r="B30" s="5" t="s">
        <v>103</v>
      </c>
      <c r="C30" s="5" t="str">
        <f>PROPER(TRIM(Table2[[#This Row],[Product Name]]))</f>
        <v>Dress</v>
      </c>
      <c r="D30" s="5" t="s">
        <v>104</v>
      </c>
      <c r="E30" s="5">
        <v>60</v>
      </c>
      <c r="F30" s="9">
        <v>30</v>
      </c>
      <c r="G30" s="5" t="s">
        <v>32</v>
      </c>
      <c r="H30" s="5" t="str">
        <f>IF(ISBLANK(Table2[[#This Row],[Category]]),"Unknown Categoty",Table2[[#This Row],[Category]])</f>
        <v>Fashion</v>
      </c>
    </row>
    <row r="31" spans="1:8" x14ac:dyDescent="0.25">
      <c r="A31" s="8" t="s">
        <v>105</v>
      </c>
      <c r="B31" s="8" t="s">
        <v>106</v>
      </c>
      <c r="C31" s="8" t="str">
        <f>PROPER(TRIM(Table2[[#This Row],[Product Name]]))</f>
        <v>Toaster</v>
      </c>
      <c r="D31" s="8" t="s">
        <v>107</v>
      </c>
      <c r="E31" s="8">
        <v>40</v>
      </c>
      <c r="F31" s="10">
        <v>10</v>
      </c>
      <c r="G31" s="8" t="s">
        <v>36</v>
      </c>
      <c r="H31" s="5" t="str">
        <f>IF(ISBLANK(Table2[[#This Row],[Category]]),"Unknown Categoty",Table2[[#This Row],[Category]])</f>
        <v>Kitchen</v>
      </c>
    </row>
    <row r="32" spans="1:8" x14ac:dyDescent="0.25">
      <c r="A32" s="5" t="s">
        <v>108</v>
      </c>
      <c r="B32" s="5" t="s">
        <v>93</v>
      </c>
      <c r="C32" s="5" t="str">
        <f>PROPER(TRIM(Table2[[#This Row],[Product Name]]))</f>
        <v>Fitness Tracker</v>
      </c>
      <c r="D32" s="5" t="s">
        <v>109</v>
      </c>
      <c r="E32" s="5">
        <v>130</v>
      </c>
      <c r="F32" s="9">
        <v>5</v>
      </c>
      <c r="G32" s="5" t="s">
        <v>28</v>
      </c>
      <c r="H32" s="5" t="str">
        <f>IF(ISBLANK(Table2[[#This Row],[Category]]),"Unknown Categoty",Table2[[#This Row],[Category]])</f>
        <v>Electronics</v>
      </c>
    </row>
    <row r="33" spans="1:8" x14ac:dyDescent="0.25">
      <c r="A33" s="8" t="s">
        <v>110</v>
      </c>
      <c r="B33" s="8" t="s">
        <v>111</v>
      </c>
      <c r="C33" s="8" t="str">
        <f>PROPER(TRIM(Table2[[#This Row],[Product Name]]))</f>
        <v>Jeans</v>
      </c>
      <c r="D33" s="8" t="s">
        <v>112</v>
      </c>
      <c r="E33" s="8">
        <v>50</v>
      </c>
      <c r="F33" s="10">
        <v>50</v>
      </c>
      <c r="G33" s="8" t="s">
        <v>32</v>
      </c>
      <c r="H33" s="5" t="str">
        <f>IF(ISBLANK(Table2[[#This Row],[Category]]),"Unknown Categoty",Table2[[#This Row],[Category]])</f>
        <v>Fashion</v>
      </c>
    </row>
    <row r="34" spans="1:8" x14ac:dyDescent="0.25">
      <c r="A34" s="5" t="s">
        <v>60</v>
      </c>
      <c r="B34" s="5" t="s">
        <v>61</v>
      </c>
      <c r="C34" s="5" t="str">
        <f>PROPER(TRIM(Table2[[#This Row],[Product Name]]))</f>
        <v>Laptop</v>
      </c>
      <c r="D34" s="5" t="s">
        <v>62</v>
      </c>
      <c r="E34" s="5">
        <v>950</v>
      </c>
      <c r="F34" s="9">
        <v>25</v>
      </c>
      <c r="G34" s="5" t="s">
        <v>28</v>
      </c>
      <c r="H34" s="5" t="str">
        <f>IF(ISBLANK(Table2[[#This Row],[Category]]),"Unknown Categoty",Table2[[#This Row],[Category]])</f>
        <v>Electronics</v>
      </c>
    </row>
    <row r="35" spans="1:8" x14ac:dyDescent="0.25">
      <c r="A35" s="8" t="s">
        <v>113</v>
      </c>
      <c r="B35" s="8" t="s">
        <v>114</v>
      </c>
      <c r="C35" s="8" t="str">
        <f>PROPER(TRIM(Table2[[#This Row],[Product Name]]))</f>
        <v>Watch</v>
      </c>
      <c r="D35" s="8" t="s">
        <v>115</v>
      </c>
      <c r="E35" s="8">
        <v>100</v>
      </c>
      <c r="F35" s="10">
        <v>20</v>
      </c>
      <c r="G35" s="8" t="s">
        <v>75</v>
      </c>
      <c r="H35" s="5" t="str">
        <f>IF(ISBLANK(Table2[[#This Row],[Category]]),"Unknown Categoty",Table2[[#This Row],[Category]])</f>
        <v>Accessories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BF2C-B10F-4E12-9C9F-82AD764480A3}">
  <dimension ref="A1:J32"/>
  <sheetViews>
    <sheetView topLeftCell="A14" workbookViewId="0">
      <selection activeCell="H7" sqref="H7"/>
    </sheetView>
  </sheetViews>
  <sheetFormatPr defaultRowHeight="12.5" x14ac:dyDescent="0.25"/>
  <cols>
    <col min="1" max="1" width="11.90625" customWidth="1"/>
    <col min="2" max="2" width="15" customWidth="1"/>
    <col min="3" max="3" width="13.36328125" customWidth="1"/>
    <col min="4" max="4" width="10" customWidth="1"/>
    <col min="5" max="5" width="10.1796875" customWidth="1"/>
    <col min="6" max="6" width="10.6328125" customWidth="1"/>
  </cols>
  <sheetData>
    <row r="1" spans="1:10" ht="13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0" x14ac:dyDescent="0.25">
      <c r="A2" s="5" t="s">
        <v>25</v>
      </c>
      <c r="B2" s="5" t="s">
        <v>26</v>
      </c>
      <c r="C2" s="5" t="s">
        <v>27</v>
      </c>
      <c r="D2" s="5">
        <v>1000</v>
      </c>
      <c r="E2" s="9">
        <v>30</v>
      </c>
      <c r="F2" s="5" t="s">
        <v>28</v>
      </c>
    </row>
    <row r="3" spans="1:10" ht="15" x14ac:dyDescent="0.3">
      <c r="A3" s="8" t="s">
        <v>29</v>
      </c>
      <c r="B3" s="8" t="s">
        <v>30</v>
      </c>
      <c r="C3" s="8" t="s">
        <v>31</v>
      </c>
      <c r="D3" s="8">
        <v>80</v>
      </c>
      <c r="E3" s="10">
        <v>15</v>
      </c>
      <c r="F3" s="8" t="s">
        <v>32</v>
      </c>
      <c r="I3" s="2" t="s">
        <v>8</v>
      </c>
    </row>
    <row r="4" spans="1:10" ht="15.5" x14ac:dyDescent="0.35">
      <c r="A4" s="5" t="s">
        <v>33</v>
      </c>
      <c r="B4" s="5" t="s">
        <v>34</v>
      </c>
      <c r="C4" s="5" t="s">
        <v>35</v>
      </c>
      <c r="D4" s="5">
        <v>130</v>
      </c>
      <c r="E4" s="9">
        <v>40</v>
      </c>
      <c r="F4" s="5" t="s">
        <v>36</v>
      </c>
      <c r="I4" s="2"/>
      <c r="J4" s="3" t="s">
        <v>9</v>
      </c>
    </row>
    <row r="5" spans="1:10" x14ac:dyDescent="0.25">
      <c r="A5" s="8" t="s">
        <v>37</v>
      </c>
      <c r="B5" s="8" t="s">
        <v>38</v>
      </c>
      <c r="C5" s="8" t="s">
        <v>39</v>
      </c>
      <c r="D5" s="8">
        <v>900</v>
      </c>
      <c r="E5" s="10">
        <v>25</v>
      </c>
      <c r="F5" s="8" t="s">
        <v>28</v>
      </c>
    </row>
    <row r="6" spans="1:10" x14ac:dyDescent="0.25">
      <c r="A6" s="5" t="s">
        <v>40</v>
      </c>
      <c r="B6" s="5" t="s">
        <v>41</v>
      </c>
      <c r="C6" s="5" t="s">
        <v>42</v>
      </c>
      <c r="D6" s="5">
        <v>70</v>
      </c>
      <c r="E6" s="9">
        <v>20</v>
      </c>
      <c r="F6" s="5"/>
    </row>
    <row r="7" spans="1:10" x14ac:dyDescent="0.25">
      <c r="A7" s="8" t="s">
        <v>43</v>
      </c>
      <c r="B7" s="8" t="s">
        <v>44</v>
      </c>
      <c r="C7" s="8" t="s">
        <v>45</v>
      </c>
      <c r="D7" s="8"/>
      <c r="E7" s="10">
        <v>45</v>
      </c>
      <c r="F7" s="8" t="s">
        <v>46</v>
      </c>
    </row>
    <row r="8" spans="1:10" x14ac:dyDescent="0.25">
      <c r="A8" s="5" t="s">
        <v>47</v>
      </c>
      <c r="B8" s="5" t="s">
        <v>48</v>
      </c>
      <c r="C8" s="5" t="s">
        <v>49</v>
      </c>
      <c r="D8" s="5">
        <v>30</v>
      </c>
      <c r="E8" s="9">
        <v>5</v>
      </c>
      <c r="F8" s="5" t="s">
        <v>32</v>
      </c>
    </row>
    <row r="9" spans="1:10" x14ac:dyDescent="0.25">
      <c r="A9" s="8" t="s">
        <v>50</v>
      </c>
      <c r="B9" s="8" t="s">
        <v>51</v>
      </c>
      <c r="C9" s="8" t="s">
        <v>52</v>
      </c>
      <c r="D9" s="8">
        <v>90</v>
      </c>
      <c r="E9" s="10">
        <v>35</v>
      </c>
      <c r="F9" s="8" t="s">
        <v>36</v>
      </c>
    </row>
    <row r="10" spans="1:10" x14ac:dyDescent="0.25">
      <c r="A10" s="5" t="s">
        <v>53</v>
      </c>
      <c r="B10" s="5" t="s">
        <v>54</v>
      </c>
      <c r="C10" s="5" t="s">
        <v>55</v>
      </c>
      <c r="D10" s="5">
        <v>500</v>
      </c>
      <c r="E10" s="9">
        <v>50</v>
      </c>
      <c r="F10" s="5" t="s">
        <v>28</v>
      </c>
    </row>
    <row r="11" spans="1:10" x14ac:dyDescent="0.25">
      <c r="A11" s="8" t="s">
        <v>56</v>
      </c>
      <c r="B11" s="8" t="s">
        <v>57</v>
      </c>
      <c r="C11" s="8" t="s">
        <v>58</v>
      </c>
      <c r="D11" s="8">
        <v>130</v>
      </c>
      <c r="E11" s="10">
        <v>10</v>
      </c>
      <c r="F11" s="8" t="s">
        <v>59</v>
      </c>
    </row>
    <row r="12" spans="1:10" x14ac:dyDescent="0.25">
      <c r="A12" s="5" t="s">
        <v>60</v>
      </c>
      <c r="B12" s="5" t="s">
        <v>61</v>
      </c>
      <c r="C12" s="5" t="s">
        <v>62</v>
      </c>
      <c r="D12" s="5">
        <v>950</v>
      </c>
      <c r="E12" s="9">
        <v>25</v>
      </c>
      <c r="F12" s="5" t="s">
        <v>28</v>
      </c>
    </row>
    <row r="13" spans="1:10" x14ac:dyDescent="0.25">
      <c r="A13" s="8" t="s">
        <v>63</v>
      </c>
      <c r="B13" s="8" t="s">
        <v>30</v>
      </c>
      <c r="C13" s="8" t="s">
        <v>49</v>
      </c>
      <c r="D13" s="8">
        <v>90</v>
      </c>
      <c r="E13" s="10">
        <v>40</v>
      </c>
      <c r="F13" s="8"/>
    </row>
    <row r="14" spans="1:10" x14ac:dyDescent="0.25">
      <c r="A14" s="5" t="s">
        <v>64</v>
      </c>
      <c r="B14" s="5" t="s">
        <v>34</v>
      </c>
      <c r="C14" s="5" t="s">
        <v>65</v>
      </c>
      <c r="D14" s="5">
        <v>120</v>
      </c>
      <c r="E14" s="9">
        <v>35</v>
      </c>
      <c r="F14" s="5"/>
    </row>
    <row r="15" spans="1:10" x14ac:dyDescent="0.25">
      <c r="A15" s="8" t="s">
        <v>66</v>
      </c>
      <c r="B15" s="8" t="s">
        <v>67</v>
      </c>
      <c r="C15" s="8" t="s">
        <v>68</v>
      </c>
      <c r="D15" s="8">
        <v>150</v>
      </c>
      <c r="E15" s="10">
        <v>15</v>
      </c>
      <c r="F15" s="8" t="s">
        <v>46</v>
      </c>
    </row>
    <row r="16" spans="1:10" x14ac:dyDescent="0.25">
      <c r="A16" s="5" t="s">
        <v>69</v>
      </c>
      <c r="B16" s="5" t="s">
        <v>70</v>
      </c>
      <c r="C16" s="5" t="s">
        <v>71</v>
      </c>
      <c r="D16" s="5">
        <v>250</v>
      </c>
      <c r="E16" s="9">
        <v>20</v>
      </c>
      <c r="F16" s="5" t="s">
        <v>46</v>
      </c>
    </row>
    <row r="17" spans="1:6" x14ac:dyDescent="0.25">
      <c r="A17" s="8" t="s">
        <v>72</v>
      </c>
      <c r="B17" s="8" t="s">
        <v>73</v>
      </c>
      <c r="C17" s="8" t="s">
        <v>74</v>
      </c>
      <c r="D17" s="8">
        <v>50</v>
      </c>
      <c r="E17" s="10">
        <v>35</v>
      </c>
      <c r="F17" s="8" t="s">
        <v>75</v>
      </c>
    </row>
    <row r="18" spans="1:6" x14ac:dyDescent="0.25">
      <c r="A18" s="5" t="s">
        <v>76</v>
      </c>
      <c r="B18" s="5" t="s">
        <v>67</v>
      </c>
      <c r="C18" s="5" t="s">
        <v>77</v>
      </c>
      <c r="D18" s="5">
        <v>160</v>
      </c>
      <c r="E18" s="9">
        <v>15</v>
      </c>
      <c r="F18" s="5" t="s">
        <v>46</v>
      </c>
    </row>
    <row r="19" spans="1:6" x14ac:dyDescent="0.25">
      <c r="A19" s="8" t="s">
        <v>78</v>
      </c>
      <c r="B19" s="8" t="s">
        <v>26</v>
      </c>
      <c r="C19" s="8" t="s">
        <v>79</v>
      </c>
      <c r="D19" s="8">
        <v>980</v>
      </c>
      <c r="E19" s="10">
        <v>10</v>
      </c>
      <c r="F19" s="8" t="s">
        <v>28</v>
      </c>
    </row>
    <row r="20" spans="1:6" x14ac:dyDescent="0.25">
      <c r="A20" s="5" t="s">
        <v>80</v>
      </c>
      <c r="B20" s="5" t="s">
        <v>81</v>
      </c>
      <c r="C20" s="5" t="s">
        <v>82</v>
      </c>
      <c r="D20" s="5">
        <v>150</v>
      </c>
      <c r="E20" s="9">
        <v>15</v>
      </c>
      <c r="F20" s="5" t="s">
        <v>32</v>
      </c>
    </row>
    <row r="21" spans="1:6" x14ac:dyDescent="0.25">
      <c r="A21" s="8" t="s">
        <v>83</v>
      </c>
      <c r="B21" s="8" t="s">
        <v>84</v>
      </c>
      <c r="C21" s="8" t="s">
        <v>85</v>
      </c>
      <c r="D21" s="8"/>
      <c r="E21" s="10">
        <v>10</v>
      </c>
      <c r="F21" s="8" t="s">
        <v>59</v>
      </c>
    </row>
    <row r="22" spans="1:6" x14ac:dyDescent="0.25">
      <c r="A22" s="5" t="s">
        <v>86</v>
      </c>
      <c r="B22" s="5" t="s">
        <v>87</v>
      </c>
      <c r="C22" s="5" t="s">
        <v>88</v>
      </c>
      <c r="D22" s="5">
        <v>700</v>
      </c>
      <c r="E22" s="9">
        <v>50</v>
      </c>
      <c r="F22" s="5" t="s">
        <v>28</v>
      </c>
    </row>
    <row r="23" spans="1:6" x14ac:dyDescent="0.25">
      <c r="A23" s="8" t="s">
        <v>89</v>
      </c>
      <c r="B23" s="8" t="s">
        <v>90</v>
      </c>
      <c r="C23" s="8" t="s">
        <v>91</v>
      </c>
      <c r="D23" s="8">
        <v>80</v>
      </c>
      <c r="E23" s="10">
        <v>20</v>
      </c>
      <c r="F23" s="8" t="s">
        <v>36</v>
      </c>
    </row>
    <row r="24" spans="1:6" x14ac:dyDescent="0.25">
      <c r="A24" s="5" t="s">
        <v>92</v>
      </c>
      <c r="B24" s="5" t="s">
        <v>93</v>
      </c>
      <c r="C24" s="5" t="s">
        <v>94</v>
      </c>
      <c r="D24" s="5">
        <v>150</v>
      </c>
      <c r="E24" s="9">
        <v>30</v>
      </c>
      <c r="F24" s="5"/>
    </row>
    <row r="25" spans="1:6" x14ac:dyDescent="0.25">
      <c r="A25" s="5" t="s">
        <v>95</v>
      </c>
      <c r="B25" s="5" t="s">
        <v>96</v>
      </c>
      <c r="C25" s="5" t="s">
        <v>97</v>
      </c>
      <c r="D25" s="5">
        <v>800</v>
      </c>
      <c r="E25" s="9">
        <v>45</v>
      </c>
      <c r="F25" s="5" t="s">
        <v>28</v>
      </c>
    </row>
    <row r="26" spans="1:6" x14ac:dyDescent="0.25">
      <c r="A26" s="8" t="s">
        <v>98</v>
      </c>
      <c r="B26" s="8" t="s">
        <v>81</v>
      </c>
      <c r="C26" s="8" t="s">
        <v>99</v>
      </c>
      <c r="D26" s="8"/>
      <c r="E26" s="10">
        <v>25</v>
      </c>
      <c r="F26" s="8" t="s">
        <v>32</v>
      </c>
    </row>
    <row r="27" spans="1:6" x14ac:dyDescent="0.25">
      <c r="A27" s="5" t="s">
        <v>100</v>
      </c>
      <c r="B27" s="5" t="s">
        <v>51</v>
      </c>
      <c r="C27" s="5" t="s">
        <v>101</v>
      </c>
      <c r="D27" s="5">
        <v>400</v>
      </c>
      <c r="E27" s="9">
        <v>40</v>
      </c>
      <c r="F27" s="5" t="s">
        <v>36</v>
      </c>
    </row>
    <row r="28" spans="1:6" x14ac:dyDescent="0.25">
      <c r="A28" s="5" t="s">
        <v>102</v>
      </c>
      <c r="B28" s="5" t="s">
        <v>103</v>
      </c>
      <c r="C28" s="5" t="s">
        <v>104</v>
      </c>
      <c r="D28" s="5">
        <v>60</v>
      </c>
      <c r="E28" s="9">
        <v>30</v>
      </c>
      <c r="F28" s="5" t="s">
        <v>32</v>
      </c>
    </row>
    <row r="29" spans="1:6" x14ac:dyDescent="0.25">
      <c r="A29" s="8" t="s">
        <v>105</v>
      </c>
      <c r="B29" s="8" t="s">
        <v>106</v>
      </c>
      <c r="C29" s="8" t="s">
        <v>107</v>
      </c>
      <c r="D29" s="8">
        <v>40</v>
      </c>
      <c r="E29" s="10">
        <v>10</v>
      </c>
      <c r="F29" s="8" t="s">
        <v>36</v>
      </c>
    </row>
    <row r="30" spans="1:6" x14ac:dyDescent="0.25">
      <c r="A30" s="5" t="s">
        <v>108</v>
      </c>
      <c r="B30" s="5" t="s">
        <v>93</v>
      </c>
      <c r="C30" s="5" t="s">
        <v>109</v>
      </c>
      <c r="D30" s="5">
        <v>130</v>
      </c>
      <c r="E30" s="9">
        <v>5</v>
      </c>
      <c r="F30" s="5" t="s">
        <v>28</v>
      </c>
    </row>
    <row r="31" spans="1:6" x14ac:dyDescent="0.25">
      <c r="A31" s="8" t="s">
        <v>110</v>
      </c>
      <c r="B31" s="8" t="s">
        <v>111</v>
      </c>
      <c r="C31" s="8" t="s">
        <v>112</v>
      </c>
      <c r="D31" s="8">
        <v>50</v>
      </c>
      <c r="E31" s="10">
        <v>50</v>
      </c>
      <c r="F31" s="8" t="s">
        <v>32</v>
      </c>
    </row>
    <row r="32" spans="1:6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10">
        <v>20</v>
      </c>
      <c r="F32" s="8" t="s">
        <v>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BB30-990A-471A-A718-6D9DFE512CE9}">
  <dimension ref="A1:U32"/>
  <sheetViews>
    <sheetView topLeftCell="A12" workbookViewId="0">
      <selection activeCell="R22" sqref="R22"/>
    </sheetView>
  </sheetViews>
  <sheetFormatPr defaultRowHeight="12.5" x14ac:dyDescent="0.25"/>
  <cols>
    <col min="1" max="1" width="14.90625" customWidth="1"/>
    <col min="2" max="2" width="15" customWidth="1"/>
    <col min="3" max="3" width="13.36328125" customWidth="1"/>
    <col min="4" max="4" width="13.54296875" customWidth="1"/>
    <col min="5" max="5" width="10.1796875" customWidth="1"/>
    <col min="6" max="6" width="16.453125" customWidth="1"/>
    <col min="8" max="8" width="18.6328125" customWidth="1"/>
    <col min="9" max="9" width="23.26953125" customWidth="1"/>
  </cols>
  <sheetData>
    <row r="1" spans="1:21" ht="13" x14ac:dyDescent="0.3">
      <c r="A1" s="7" t="s">
        <v>19</v>
      </c>
      <c r="B1" s="12" t="s">
        <v>143</v>
      </c>
      <c r="C1" s="12" t="s">
        <v>144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12" t="s">
        <v>145</v>
      </c>
    </row>
    <row r="2" spans="1:21" x14ac:dyDescent="0.25">
      <c r="A2" s="5" t="s">
        <v>25</v>
      </c>
      <c r="B2" s="16">
        <v>46050</v>
      </c>
      <c r="C2" s="17" t="s">
        <v>131</v>
      </c>
      <c r="D2" s="5" t="str">
        <f>PROPER(TRIM(Table2[[#This Row],[Product Name]]))</f>
        <v>Laptop</v>
      </c>
      <c r="E2" s="5" t="s">
        <v>27</v>
      </c>
      <c r="F2" s="9">
        <f>IF(ISBLANK(Table1[[#This Row],[Price ($)]]),MEDIAN(Table1[Price ($)]),Table1[[#This Row],[Price ($)]])</f>
        <v>1000</v>
      </c>
      <c r="G2" s="9">
        <v>30</v>
      </c>
      <c r="H2" s="5" t="str">
        <f>IF(ISBLANK(Table2[[#This Row],[Category]]),"Unknown Categoty",Table2[[#This Row],[Category]])</f>
        <v>Electronics</v>
      </c>
      <c r="I2" s="13" t="str">
        <f>CONCATENATE(Table4[[#This Row],[Product Name]]," ",Table4[[#This Row],[Brand Name]])</f>
        <v>Laptop Dell</v>
      </c>
    </row>
    <row r="3" spans="1:21" ht="15" x14ac:dyDescent="0.3">
      <c r="A3" s="8" t="s">
        <v>29</v>
      </c>
      <c r="B3" s="16">
        <v>46068</v>
      </c>
      <c r="C3" s="17" t="s">
        <v>131</v>
      </c>
      <c r="D3" s="8" t="str">
        <f>PROPER(TRIM(Table2[[#This Row],[Product Name]]))</f>
        <v>Sneakers</v>
      </c>
      <c r="E3" s="8" t="s">
        <v>31</v>
      </c>
      <c r="F3" s="10">
        <f>IF(ISBLANK(Table1[[#This Row],[Price ($)]]),MEDIAN(Table1[Price ($)]),Table1[[#This Row],[Price ($)]])</f>
        <v>80</v>
      </c>
      <c r="G3" s="10">
        <v>15</v>
      </c>
      <c r="H3" s="5" t="str">
        <f>IF(ISBLANK(Table2[[#This Row],[Category]]),"Unknown Categoty",Table2[[#This Row],[Category]])</f>
        <v>Fashion</v>
      </c>
      <c r="I3" s="13" t="str">
        <f>CONCATENATE(Table4[[#This Row],[Product Name]]," ",Table4[[#This Row],[Brand Name]])</f>
        <v>Sneakers Nike</v>
      </c>
      <c r="L3" s="2" t="s">
        <v>10</v>
      </c>
      <c r="M3" s="5"/>
      <c r="N3" s="5"/>
      <c r="O3" s="5"/>
      <c r="P3" s="5"/>
      <c r="Q3" s="5"/>
      <c r="R3" s="5"/>
      <c r="S3" s="5"/>
      <c r="T3" s="5"/>
      <c r="U3" s="5"/>
    </row>
    <row r="4" spans="1:21" ht="15.5" x14ac:dyDescent="0.35">
      <c r="A4" s="5" t="s">
        <v>33</v>
      </c>
      <c r="B4" s="16">
        <v>46084</v>
      </c>
      <c r="C4" s="17" t="s">
        <v>131</v>
      </c>
      <c r="D4" s="5" t="str">
        <f>PROPER(TRIM(Table2[[#This Row],[Product Name]]))</f>
        <v>Coffee Maker</v>
      </c>
      <c r="E4" s="5" t="s">
        <v>35</v>
      </c>
      <c r="F4" s="9">
        <f>IF(ISBLANK(Table1[[#This Row],[Price ($)]]),MEDIAN(Table1[Price ($)]),Table1[[#This Row],[Price ($)]])</f>
        <v>130</v>
      </c>
      <c r="G4" s="9">
        <v>40</v>
      </c>
      <c r="H4" s="5" t="str">
        <f>IF(ISBLANK(Table2[[#This Row],[Category]]),"Unknown Categoty",Table2[[#This Row],[Category]])</f>
        <v>Kitchen</v>
      </c>
      <c r="I4" s="13" t="str">
        <f>CONCATENATE(Table4[[#This Row],[Product Name]]," ",Table4[[#This Row],[Brand Name]])</f>
        <v>Coffee Maker Keurig</v>
      </c>
      <c r="L4" s="5"/>
      <c r="M4" s="3" t="s">
        <v>11</v>
      </c>
      <c r="N4" s="5"/>
      <c r="O4" s="5"/>
      <c r="P4" s="5"/>
      <c r="Q4" s="5"/>
      <c r="R4" s="5"/>
      <c r="S4" s="5"/>
      <c r="T4" s="5"/>
      <c r="U4" s="5"/>
    </row>
    <row r="5" spans="1:21" ht="15.5" x14ac:dyDescent="0.35">
      <c r="A5" s="8" t="s">
        <v>37</v>
      </c>
      <c r="B5" s="16">
        <v>46123</v>
      </c>
      <c r="C5" s="17" t="s">
        <v>131</v>
      </c>
      <c r="D5" s="8" t="str">
        <f>PROPER(TRIM(Table2[[#This Row],[Product Name]]))</f>
        <v>Smartphone</v>
      </c>
      <c r="E5" s="8" t="s">
        <v>39</v>
      </c>
      <c r="F5" s="10">
        <f>IF(ISBLANK(Table1[[#This Row],[Price ($)]]),MEDIAN(Table1[Price ($)]),Table1[[#This Row],[Price ($)]])</f>
        <v>900</v>
      </c>
      <c r="G5" s="10">
        <v>25</v>
      </c>
      <c r="H5" s="5" t="str">
        <f>IF(ISBLANK(Table2[[#This Row],[Category]]),"Unknown Categoty",Table2[[#This Row],[Category]])</f>
        <v>Electronics</v>
      </c>
      <c r="I5" s="13" t="str">
        <f>CONCATENATE(Table4[[#This Row],[Product Name]]," ",Table4[[#This Row],[Brand Name]])</f>
        <v>Smartphone Samsung</v>
      </c>
      <c r="L5" s="5"/>
      <c r="M5" s="3" t="s">
        <v>12</v>
      </c>
      <c r="N5" s="5"/>
      <c r="O5" s="5"/>
      <c r="P5" s="5"/>
      <c r="Q5" s="5"/>
      <c r="R5" s="5"/>
      <c r="S5" s="5"/>
      <c r="T5" s="5"/>
      <c r="U5" s="5"/>
    </row>
    <row r="6" spans="1:21" x14ac:dyDescent="0.25">
      <c r="A6" s="5" t="s">
        <v>40</v>
      </c>
      <c r="B6" s="16">
        <v>46164</v>
      </c>
      <c r="C6" s="17" t="s">
        <v>131</v>
      </c>
      <c r="D6" s="5" t="str">
        <f>PROPER(TRIM(Table2[[#This Row],[Product Name]]))</f>
        <v>Backpack</v>
      </c>
      <c r="E6" s="5" t="s">
        <v>42</v>
      </c>
      <c r="F6" s="9">
        <f>IF(ISBLANK(Table1[[#This Row],[Price ($)]]),MEDIAN(Table1[Price ($)]),Table1[[#This Row],[Price ($)]])</f>
        <v>70</v>
      </c>
      <c r="G6" s="9">
        <v>20</v>
      </c>
      <c r="H6" s="5" t="str">
        <f>IF(ISBLANK(Table2[[#This Row],[Category]]),"Unknown Categoty",Table2[[#This Row],[Category]])</f>
        <v>Unknown Categoty</v>
      </c>
      <c r="I6" s="13" t="str">
        <f>CONCATENATE(Table4[[#This Row],[Product Name]]," ",Table4[[#This Row],[Brand Name]])</f>
        <v>Backpack North Face</v>
      </c>
    </row>
    <row r="7" spans="1:21" x14ac:dyDescent="0.25">
      <c r="A7" s="8" t="s">
        <v>43</v>
      </c>
      <c r="B7" s="16">
        <v>46180</v>
      </c>
      <c r="C7" s="17" t="s">
        <v>132</v>
      </c>
      <c r="D7" s="8" t="str">
        <f>PROPER(TRIM(Table2[[#This Row],[Product Name]]))</f>
        <v>Headphones</v>
      </c>
      <c r="E7" s="8" t="s">
        <v>45</v>
      </c>
      <c r="F7" s="10">
        <f>IF(ISBLANK(Table1[[#This Row],[Price ($)]]),MEDIAN(Table1[Price ($)]),Table1[[#This Row],[Price ($)]])</f>
        <v>130</v>
      </c>
      <c r="G7" s="10">
        <v>45</v>
      </c>
      <c r="H7" s="5" t="str">
        <f>IF(ISBLANK(Table2[[#This Row],[Category]]),"Unknown Categoty",Table2[[#This Row],[Category]])</f>
        <v>Electronics</v>
      </c>
      <c r="I7" s="13" t="str">
        <f>CONCATENATE(Table4[[#This Row],[Product Name]]," ",Table4[[#This Row],[Brand Name]])</f>
        <v>Headphones Sony</v>
      </c>
    </row>
    <row r="8" spans="1:21" x14ac:dyDescent="0.25">
      <c r="A8" s="5" t="s">
        <v>47</v>
      </c>
      <c r="B8" s="16">
        <v>46222</v>
      </c>
      <c r="C8" s="17" t="s">
        <v>132</v>
      </c>
      <c r="D8" s="5" t="str">
        <f>PROPER(TRIM(Table2[[#This Row],[Product Name]]))</f>
        <v>T-Shirt</v>
      </c>
      <c r="E8" s="5" t="s">
        <v>49</v>
      </c>
      <c r="F8" s="9">
        <f>IF(ISBLANK(Table1[[#This Row],[Price ($)]]),MEDIAN(Table1[Price ($)]),Table1[[#This Row],[Price ($)]])</f>
        <v>30</v>
      </c>
      <c r="G8" s="9">
        <v>5</v>
      </c>
      <c r="H8" s="5" t="str">
        <f>IF(ISBLANK(Table2[[#This Row],[Category]]),"Unknown Categoty",Table2[[#This Row],[Category]])</f>
        <v>Fashion</v>
      </c>
      <c r="I8" s="13" t="str">
        <f>CONCATENATE(Table4[[#This Row],[Product Name]]," ",Table4[[#This Row],[Brand Name]])</f>
        <v>T-Shirt Adidas</v>
      </c>
    </row>
    <row r="9" spans="1:21" x14ac:dyDescent="0.25">
      <c r="A9" s="8" t="s">
        <v>50</v>
      </c>
      <c r="B9" s="16">
        <v>46257</v>
      </c>
      <c r="C9" s="17" t="s">
        <v>132</v>
      </c>
      <c r="D9" s="8" t="str">
        <f>PROPER(TRIM(Table2[[#This Row],[Product Name]]))</f>
        <v>Blender</v>
      </c>
      <c r="E9" s="8" t="s">
        <v>52</v>
      </c>
      <c r="F9" s="10">
        <f>IF(ISBLANK(Table1[[#This Row],[Price ($)]]),MEDIAN(Table1[Price ($)]),Table1[[#This Row],[Price ($)]])</f>
        <v>90</v>
      </c>
      <c r="G9" s="10">
        <v>35</v>
      </c>
      <c r="H9" s="5" t="str">
        <f>IF(ISBLANK(Table2[[#This Row],[Category]]),"Unknown Categoty",Table2[[#This Row],[Category]])</f>
        <v>Kitchen</v>
      </c>
      <c r="I9" s="13" t="str">
        <f>CONCATENATE(Table4[[#This Row],[Product Name]]," ",Table4[[#This Row],[Brand Name]])</f>
        <v>Blender Ninja</v>
      </c>
    </row>
    <row r="10" spans="1:21" x14ac:dyDescent="0.25">
      <c r="A10" s="5" t="s">
        <v>53</v>
      </c>
      <c r="B10" s="16">
        <v>46270</v>
      </c>
      <c r="C10" s="17" t="s">
        <v>132</v>
      </c>
      <c r="D10" s="5" t="str">
        <f>PROPER(TRIM(Table2[[#This Row],[Product Name]]))</f>
        <v>Tablet</v>
      </c>
      <c r="E10" s="5" t="s">
        <v>55</v>
      </c>
      <c r="F10" s="9">
        <f>IF(ISBLANK(Table1[[#This Row],[Price ($)]]),MEDIAN(Table1[Price ($)]),Table1[[#This Row],[Price ($)]])</f>
        <v>500</v>
      </c>
      <c r="G10" s="9">
        <v>50</v>
      </c>
      <c r="H10" s="5" t="str">
        <f>IF(ISBLANK(Table2[[#This Row],[Category]]),"Unknown Categoty",Table2[[#This Row],[Category]])</f>
        <v>Electronics</v>
      </c>
      <c r="I10" s="13" t="str">
        <f>CONCATENATE(Table4[[#This Row],[Product Name]]," ",Table4[[#This Row],[Brand Name]])</f>
        <v>Tablet Apple</v>
      </c>
    </row>
    <row r="11" spans="1:21" x14ac:dyDescent="0.25">
      <c r="A11" s="8" t="s">
        <v>56</v>
      </c>
      <c r="B11" s="16">
        <v>46309</v>
      </c>
      <c r="C11" s="17" t="s">
        <v>132</v>
      </c>
      <c r="D11" s="8" t="str">
        <f>PROPER(TRIM(Table2[[#This Row],[Product Name]]))</f>
        <v>Hiking Boots</v>
      </c>
      <c r="E11" s="8" t="s">
        <v>58</v>
      </c>
      <c r="F11" s="10">
        <f>IF(ISBLANK(Table1[[#This Row],[Price ($)]]),MEDIAN(Table1[Price ($)]),Table1[[#This Row],[Price ($)]])</f>
        <v>130</v>
      </c>
      <c r="G11" s="10">
        <v>10</v>
      </c>
      <c r="H11" s="5" t="str">
        <f>IF(ISBLANK(Table2[[#This Row],[Category]]),"Unknown Categoty",Table2[[#This Row],[Category]])</f>
        <v>Outdoor</v>
      </c>
      <c r="I11" s="13" t="str">
        <f>CONCATENATE(Table4[[#This Row],[Product Name]]," ",Table4[[#This Row],[Brand Name]])</f>
        <v>Hiking Boots Timberland</v>
      </c>
    </row>
    <row r="12" spans="1:21" x14ac:dyDescent="0.25">
      <c r="A12" s="5" t="s">
        <v>60</v>
      </c>
      <c r="B12" s="16">
        <v>46190</v>
      </c>
      <c r="C12" s="17" t="s">
        <v>133</v>
      </c>
      <c r="D12" s="5" t="str">
        <f>PROPER(TRIM(Table2[[#This Row],[Product Name]]))</f>
        <v>Laptop</v>
      </c>
      <c r="E12" s="5" t="s">
        <v>62</v>
      </c>
      <c r="F12" s="9">
        <f>IF(ISBLANK(Table1[[#This Row],[Price ($)]]),MEDIAN(Table1[Price ($)]),Table1[[#This Row],[Price ($)]])</f>
        <v>950</v>
      </c>
      <c r="G12" s="9">
        <v>25</v>
      </c>
      <c r="H12" s="5" t="str">
        <f>IF(ISBLANK(Table2[[#This Row],[Category]]),"Unknown Categoty",Table2[[#This Row],[Category]])</f>
        <v>Electronics</v>
      </c>
      <c r="I12" s="13" t="str">
        <f>CONCATENATE(Table4[[#This Row],[Product Name]]," ",Table4[[#This Row],[Brand Name]])</f>
        <v>Laptop HP</v>
      </c>
    </row>
    <row r="13" spans="1:21" x14ac:dyDescent="0.25">
      <c r="A13" s="8" t="s">
        <v>63</v>
      </c>
      <c r="B13" s="16">
        <v>46351</v>
      </c>
      <c r="C13" s="17" t="s">
        <v>134</v>
      </c>
      <c r="D13" s="8" t="str">
        <f>PROPER(TRIM(Table2[[#This Row],[Product Name]]))</f>
        <v>Sneakers</v>
      </c>
      <c r="E13" s="8" t="s">
        <v>49</v>
      </c>
      <c r="F13" s="10">
        <f>IF(ISBLANK(Table1[[#This Row],[Price ($)]]),MEDIAN(Table1[Price ($)]),Table1[[#This Row],[Price ($)]])</f>
        <v>90</v>
      </c>
      <c r="G13" s="10">
        <v>40</v>
      </c>
      <c r="H13" s="5" t="str">
        <f>IF(ISBLANK(Table2[[#This Row],[Category]]),"Unknown Categoty",Table2[[#This Row],[Category]])</f>
        <v>Unknown Categoty</v>
      </c>
      <c r="I13" s="13" t="str">
        <f>CONCATENATE(Table4[[#This Row],[Product Name]]," ",Table4[[#This Row],[Brand Name]])</f>
        <v>Sneakers Adidas</v>
      </c>
    </row>
    <row r="14" spans="1:21" x14ac:dyDescent="0.25">
      <c r="A14" s="5" t="s">
        <v>64</v>
      </c>
      <c r="B14" s="16">
        <v>46364</v>
      </c>
      <c r="C14" s="17" t="s">
        <v>135</v>
      </c>
      <c r="D14" s="5" t="str">
        <f>PROPER(TRIM(Table2[[#This Row],[Product Name]]))</f>
        <v>Coffee Maker</v>
      </c>
      <c r="E14" s="5" t="s">
        <v>65</v>
      </c>
      <c r="F14" s="9">
        <f>IF(ISBLANK(Table1[[#This Row],[Price ($)]]),MEDIAN(Table1[Price ($)]),Table1[[#This Row],[Price ($)]])</f>
        <v>120</v>
      </c>
      <c r="G14" s="9">
        <v>35</v>
      </c>
      <c r="H14" s="5" t="str">
        <f>IF(ISBLANK(Table2[[#This Row],[Category]]),"Unknown Categoty",Table2[[#This Row],[Category]])</f>
        <v>Unknown Categoty</v>
      </c>
      <c r="I14" s="13" t="str">
        <f>CONCATENATE(Table4[[#This Row],[Product Name]]," ",Table4[[#This Row],[Brand Name]])</f>
        <v>Coffee Maker Nespresso</v>
      </c>
    </row>
    <row r="15" spans="1:21" x14ac:dyDescent="0.25">
      <c r="A15" s="8" t="s">
        <v>66</v>
      </c>
      <c r="B15" s="16">
        <v>46071</v>
      </c>
      <c r="C15" s="17" t="s">
        <v>136</v>
      </c>
      <c r="D15" s="8" t="str">
        <f>PROPER(TRIM(Table2[[#This Row],[Product Name]]))</f>
        <v>Smartwatch</v>
      </c>
      <c r="E15" s="8" t="s">
        <v>68</v>
      </c>
      <c r="F15" s="10">
        <f>IF(ISBLANK(Table1[[#This Row],[Price ($)]]),MEDIAN(Table1[Price ($)]),Table1[[#This Row],[Price ($)]])</f>
        <v>150</v>
      </c>
      <c r="G15" s="10">
        <v>15</v>
      </c>
      <c r="H15" s="5" t="str">
        <f>IF(ISBLANK(Table2[[#This Row],[Category]]),"Unknown Categoty",Table2[[#This Row],[Category]])</f>
        <v>Electronics</v>
      </c>
      <c r="I15" s="13" t="str">
        <f>CONCATENATE(Table4[[#This Row],[Product Name]]," ",Table4[[#This Row],[Brand Name]])</f>
        <v>Smartwatch Fitbit</v>
      </c>
    </row>
    <row r="16" spans="1:21" x14ac:dyDescent="0.25">
      <c r="A16" s="5" t="s">
        <v>69</v>
      </c>
      <c r="B16" s="16">
        <v>46128</v>
      </c>
      <c r="C16" s="17" t="s">
        <v>137</v>
      </c>
      <c r="D16" s="5" t="str">
        <f>PROPER(TRIM(Table2[[#This Row],[Product Name]]))</f>
        <v>Headphones</v>
      </c>
      <c r="E16" s="5" t="s">
        <v>71</v>
      </c>
      <c r="F16" s="9">
        <f>IF(ISBLANK(Table1[[#This Row],[Price ($)]]),MEDIAN(Table1[Price ($)]),Table1[[#This Row],[Price ($)]])</f>
        <v>250</v>
      </c>
      <c r="G16" s="9">
        <v>20</v>
      </c>
      <c r="H16" s="5" t="str">
        <f>IF(ISBLANK(Table2[[#This Row],[Category]]),"Unknown Categoty",Table2[[#This Row],[Category]])</f>
        <v>Electronics</v>
      </c>
      <c r="I16" s="13" t="str">
        <f>CONCATENATE(Table4[[#This Row],[Product Name]]," ",Table4[[#This Row],[Brand Name]])</f>
        <v>Headphones Bose</v>
      </c>
    </row>
    <row r="17" spans="1:16" x14ac:dyDescent="0.25">
      <c r="A17" s="8" t="s">
        <v>72</v>
      </c>
      <c r="B17" s="16">
        <v>46255</v>
      </c>
      <c r="C17" s="17" t="s">
        <v>136</v>
      </c>
      <c r="D17" s="8" t="str">
        <f>PROPER(TRIM(Table2[[#This Row],[Product Name]]))</f>
        <v>Laptop Bag</v>
      </c>
      <c r="E17" s="8" t="s">
        <v>74</v>
      </c>
      <c r="F17" s="10">
        <f>IF(ISBLANK(Table1[[#This Row],[Price ($)]]),MEDIAN(Table1[Price ($)]),Table1[[#This Row],[Price ($)]])</f>
        <v>50</v>
      </c>
      <c r="G17" s="10">
        <v>35</v>
      </c>
      <c r="H17" s="5" t="str">
        <f>IF(ISBLANK(Table2[[#This Row],[Category]]),"Unknown Categoty",Table2[[#This Row],[Category]])</f>
        <v>Accessories</v>
      </c>
      <c r="I17" s="13" t="str">
        <f>CONCATENATE(Table4[[#This Row],[Product Name]]," ",Table4[[#This Row],[Brand Name]])</f>
        <v>Laptop Bag Samsonite</v>
      </c>
    </row>
    <row r="18" spans="1:16" x14ac:dyDescent="0.25">
      <c r="A18" s="5" t="s">
        <v>76</v>
      </c>
      <c r="B18" s="16">
        <v>46254</v>
      </c>
      <c r="C18" s="17" t="s">
        <v>138</v>
      </c>
      <c r="D18" s="5" t="str">
        <f>PROPER(TRIM(Table2[[#This Row],[Product Name]]))</f>
        <v>Smartwatch</v>
      </c>
      <c r="E18" s="5" t="s">
        <v>77</v>
      </c>
      <c r="F18" s="9">
        <f>IF(ISBLANK(Table1[[#This Row],[Price ($)]]),MEDIAN(Table1[Price ($)]),Table1[[#This Row],[Price ($)]])</f>
        <v>160</v>
      </c>
      <c r="G18" s="9">
        <v>15</v>
      </c>
      <c r="H18" s="5" t="str">
        <f>IF(ISBLANK(Table2[[#This Row],[Category]]),"Unknown Categoty",Table2[[#This Row],[Category]])</f>
        <v>Electronics</v>
      </c>
      <c r="I18" s="13" t="str">
        <f>CONCATENATE(Table4[[#This Row],[Product Name]]," ",Table4[[#This Row],[Brand Name]])</f>
        <v>Smartwatch Huawei</v>
      </c>
      <c r="K18" s="5"/>
      <c r="L18" s="5"/>
      <c r="M18" s="5"/>
      <c r="N18" s="5"/>
      <c r="O18" s="5"/>
      <c r="P18" s="5"/>
    </row>
    <row r="19" spans="1:16" x14ac:dyDescent="0.25">
      <c r="A19" s="8" t="s">
        <v>78</v>
      </c>
      <c r="B19" s="16">
        <v>46049</v>
      </c>
      <c r="C19" s="17" t="s">
        <v>139</v>
      </c>
      <c r="D19" s="8" t="str">
        <f>PROPER(TRIM(Table2[[#This Row],[Product Name]]))</f>
        <v>Laptop</v>
      </c>
      <c r="E19" s="8" t="s">
        <v>79</v>
      </c>
      <c r="F19" s="10">
        <f>IF(ISBLANK(Table1[[#This Row],[Price ($)]]),MEDIAN(Table1[Price ($)]),Table1[[#This Row],[Price ($)]])</f>
        <v>980</v>
      </c>
      <c r="G19" s="10">
        <v>10</v>
      </c>
      <c r="H19" s="5" t="str">
        <f>IF(ISBLANK(Table2[[#This Row],[Category]]),"Unknown Categoty",Table2[[#This Row],[Category]])</f>
        <v>Electronics</v>
      </c>
      <c r="I19" s="13" t="str">
        <f>CONCATENATE(Table4[[#This Row],[Product Name]]," ",Table4[[#This Row],[Brand Name]])</f>
        <v>Laptop Asus</v>
      </c>
    </row>
    <row r="20" spans="1:16" x14ac:dyDescent="0.25">
      <c r="A20" s="5" t="s">
        <v>80</v>
      </c>
      <c r="B20" s="16">
        <v>46082</v>
      </c>
      <c r="C20" s="17" t="s">
        <v>132</v>
      </c>
      <c r="D20" s="5" t="str">
        <f>PROPER(TRIM(Table2[[#This Row],[Product Name]]))</f>
        <v>Sunglasses</v>
      </c>
      <c r="E20" s="5" t="s">
        <v>82</v>
      </c>
      <c r="F20" s="9">
        <f>IF(ISBLANK(Table1[[#This Row],[Price ($)]]),MEDIAN(Table1[Price ($)]),Table1[[#This Row],[Price ($)]])</f>
        <v>150</v>
      </c>
      <c r="G20" s="9">
        <v>15</v>
      </c>
      <c r="H20" s="5" t="str">
        <f>IF(ISBLANK(Table2[[#This Row],[Category]]),"Unknown Categoty",Table2[[#This Row],[Category]])</f>
        <v>Fashion</v>
      </c>
      <c r="I20" s="13" t="str">
        <f>CONCATENATE(Table4[[#This Row],[Product Name]]," ",Table4[[#This Row],[Brand Name]])</f>
        <v>Sunglasses Oakley</v>
      </c>
    </row>
    <row r="21" spans="1:16" x14ac:dyDescent="0.25">
      <c r="A21" s="8" t="s">
        <v>83</v>
      </c>
      <c r="B21" s="16">
        <v>46248</v>
      </c>
      <c r="C21" s="17" t="s">
        <v>131</v>
      </c>
      <c r="D21" s="8" t="str">
        <f>PROPER(TRIM(Table2[[#This Row],[Product Name]]))</f>
        <v>Camping Tent</v>
      </c>
      <c r="E21" s="8" t="s">
        <v>85</v>
      </c>
      <c r="F21" s="10">
        <f>IF(ISBLANK(Table1[[#This Row],[Price ($)]]),MEDIAN(Table1[Price ($)]),Table1[[#This Row],[Price ($)]])</f>
        <v>130</v>
      </c>
      <c r="G21" s="10">
        <v>10</v>
      </c>
      <c r="H21" s="5" t="str">
        <f>IF(ISBLANK(Table2[[#This Row],[Category]]),"Unknown Categoty",Table2[[#This Row],[Category]])</f>
        <v>Outdoor</v>
      </c>
      <c r="I21" s="13" t="str">
        <f>CONCATENATE(Table4[[#This Row],[Product Name]]," ",Table4[[#This Row],[Brand Name]])</f>
        <v>Camping Tent Coleman</v>
      </c>
    </row>
    <row r="22" spans="1:16" x14ac:dyDescent="0.25">
      <c r="A22" s="5" t="s">
        <v>86</v>
      </c>
      <c r="B22" s="16">
        <v>46156</v>
      </c>
      <c r="C22" s="17" t="s">
        <v>140</v>
      </c>
      <c r="D22" s="5" t="str">
        <f>PROPER(TRIM(Table2[[#This Row],[Product Name]]))</f>
        <v>Camera</v>
      </c>
      <c r="E22" s="5" t="s">
        <v>88</v>
      </c>
      <c r="F22" s="9">
        <f>IF(ISBLANK(Table1[[#This Row],[Price ($)]]),MEDIAN(Table1[Price ($)]),Table1[[#This Row],[Price ($)]])</f>
        <v>700</v>
      </c>
      <c r="G22" s="9">
        <v>50</v>
      </c>
      <c r="H22" s="5" t="str">
        <f>IF(ISBLANK(Table2[[#This Row],[Category]]),"Unknown Categoty",Table2[[#This Row],[Category]])</f>
        <v>Electronics</v>
      </c>
      <c r="I22" s="13" t="str">
        <f>CONCATENATE(Table4[[#This Row],[Product Name]]," ",Table4[[#This Row],[Brand Name]])</f>
        <v>Camera Nikon</v>
      </c>
    </row>
    <row r="23" spans="1:16" x14ac:dyDescent="0.25">
      <c r="A23" s="8" t="s">
        <v>89</v>
      </c>
      <c r="B23" s="16">
        <v>46031</v>
      </c>
      <c r="C23" s="17" t="s">
        <v>136</v>
      </c>
      <c r="D23" s="8" t="str">
        <f>PROPER(TRIM(Table2[[#This Row],[Product Name]]))</f>
        <v>Microwave</v>
      </c>
      <c r="E23" s="8" t="s">
        <v>91</v>
      </c>
      <c r="F23" s="10">
        <f>IF(ISBLANK(Table1[[#This Row],[Price ($)]]),MEDIAN(Table1[Price ($)]),Table1[[#This Row],[Price ($)]])</f>
        <v>80</v>
      </c>
      <c r="G23" s="10">
        <v>20</v>
      </c>
      <c r="H23" s="5" t="str">
        <f>IF(ISBLANK(Table2[[#This Row],[Category]]),"Unknown Categoty",Table2[[#This Row],[Category]])</f>
        <v>Kitchen</v>
      </c>
      <c r="I23" s="13" t="str">
        <f>CONCATENATE(Table4[[#This Row],[Product Name]]," ",Table4[[#This Row],[Brand Name]])</f>
        <v>Microwave Panasonic</v>
      </c>
    </row>
    <row r="24" spans="1:16" x14ac:dyDescent="0.25">
      <c r="A24" s="5" t="s">
        <v>92</v>
      </c>
      <c r="B24" s="16">
        <v>46222</v>
      </c>
      <c r="C24" s="17" t="s">
        <v>141</v>
      </c>
      <c r="D24" s="5" t="str">
        <f>PROPER(TRIM(Table2[[#This Row],[Product Name]]))</f>
        <v>Fitness Tracker</v>
      </c>
      <c r="E24" s="5" t="s">
        <v>94</v>
      </c>
      <c r="F24" s="9">
        <f>IF(ISBLANK(Table1[[#This Row],[Price ($)]]),MEDIAN(Table1[Price ($)]),Table1[[#This Row],[Price ($)]])</f>
        <v>150</v>
      </c>
      <c r="G24" s="9">
        <v>30</v>
      </c>
      <c r="H24" s="5" t="str">
        <f>IF(ISBLANK(Table2[[#This Row],[Category]]),"Unknown Categoty",Table2[[#This Row],[Category]])</f>
        <v>Unknown Categoty</v>
      </c>
      <c r="I24" s="13" t="str">
        <f>CONCATENATE(Table4[[#This Row],[Product Name]]," ",Table4[[#This Row],[Brand Name]])</f>
        <v>Fitness Tracker Xiaomi</v>
      </c>
    </row>
    <row r="25" spans="1:16" x14ac:dyDescent="0.25">
      <c r="A25" s="5" t="s">
        <v>95</v>
      </c>
      <c r="B25" s="16">
        <v>46294</v>
      </c>
      <c r="C25" s="17" t="s">
        <v>136</v>
      </c>
      <c r="D25" s="5" t="str">
        <f>PROPER(TRIM(Table2[[#This Row],[Product Name]]))</f>
        <v>Laptop Bag</v>
      </c>
      <c r="E25" s="5" t="s">
        <v>97</v>
      </c>
      <c r="F25" s="9">
        <f>IF(ISBLANK(Table1[[#This Row],[Price ($)]]),MEDIAN(Table1[Price ($)]),Table1[[#This Row],[Price ($)]])</f>
        <v>50</v>
      </c>
      <c r="G25" s="9">
        <v>45</v>
      </c>
      <c r="H25" s="5" t="str">
        <f>IF(ISBLANK(Table2[[#This Row],[Category]]),"Unknown Categoty",Table2[[#This Row],[Category]])</f>
        <v>Accessories</v>
      </c>
      <c r="I25" s="13" t="str">
        <f>CONCATENATE(Table4[[#This Row],[Product Name]]," ",Table4[[#This Row],[Brand Name]])</f>
        <v>Laptop Bag Google</v>
      </c>
    </row>
    <row r="26" spans="1:16" x14ac:dyDescent="0.25">
      <c r="A26" s="8" t="s">
        <v>98</v>
      </c>
      <c r="B26" s="16">
        <v>46176</v>
      </c>
      <c r="C26" s="17" t="s">
        <v>136</v>
      </c>
      <c r="D26" s="8" t="str">
        <f>PROPER(TRIM(Table2[[#This Row],[Product Name]]))</f>
        <v>Smartphone</v>
      </c>
      <c r="E26" s="8" t="s">
        <v>99</v>
      </c>
      <c r="F26" s="10">
        <f>IF(ISBLANK(Table1[[#This Row],[Price ($)]]),MEDIAN(Table1[Price ($)]),Table1[[#This Row],[Price ($)]])</f>
        <v>800</v>
      </c>
      <c r="G26" s="10">
        <v>25</v>
      </c>
      <c r="H26" s="5" t="str">
        <f>IF(ISBLANK(Table2[[#This Row],[Category]]),"Unknown Categoty",Table2[[#This Row],[Category]])</f>
        <v>Electronics</v>
      </c>
      <c r="I26" s="13" t="str">
        <f>CONCATENATE(Table4[[#This Row],[Product Name]]," ",Table4[[#This Row],[Brand Name]])</f>
        <v>Smartphone Ray-Ban</v>
      </c>
    </row>
    <row r="27" spans="1:16" x14ac:dyDescent="0.25">
      <c r="A27" s="5" t="s">
        <v>100</v>
      </c>
      <c r="B27" s="16">
        <v>46214</v>
      </c>
      <c r="C27" s="17" t="s">
        <v>136</v>
      </c>
      <c r="D27" s="5" t="str">
        <f>PROPER(TRIM(Table2[[#This Row],[Product Name]]))</f>
        <v>Sunglasses</v>
      </c>
      <c r="E27" s="5" t="s">
        <v>101</v>
      </c>
      <c r="F27" s="9">
        <f>IF(ISBLANK(Table1[[#This Row],[Price ($)]]),MEDIAN(Table1[Price ($)]),Table1[[#This Row],[Price ($)]])</f>
        <v>130</v>
      </c>
      <c r="G27" s="9">
        <v>40</v>
      </c>
      <c r="H27" s="5" t="str">
        <f>IF(ISBLANK(Table2[[#This Row],[Category]]),"Unknown Categoty",Table2[[#This Row],[Category]])</f>
        <v>Fashion</v>
      </c>
      <c r="I27" s="13" t="str">
        <f>CONCATENATE(Table4[[#This Row],[Product Name]]," ",Table4[[#This Row],[Brand Name]])</f>
        <v>Sunglasses Vitamix</v>
      </c>
    </row>
    <row r="28" spans="1:16" x14ac:dyDescent="0.25">
      <c r="A28" s="5" t="s">
        <v>102</v>
      </c>
      <c r="B28" s="16">
        <v>46088</v>
      </c>
      <c r="C28" s="17" t="s">
        <v>136</v>
      </c>
      <c r="D28" s="5" t="str">
        <f>PROPER(TRIM(Table2[[#This Row],[Product Name]]))</f>
        <v>Blender</v>
      </c>
      <c r="E28" s="5" t="s">
        <v>104</v>
      </c>
      <c r="F28" s="9">
        <f>IF(ISBLANK(Table1[[#This Row],[Price ($)]]),MEDIAN(Table1[Price ($)]),Table1[[#This Row],[Price ($)]])</f>
        <v>400</v>
      </c>
      <c r="G28" s="9">
        <v>30</v>
      </c>
      <c r="H28" s="5" t="str">
        <f>IF(ISBLANK(Table2[[#This Row],[Category]]),"Unknown Categoty",Table2[[#This Row],[Category]])</f>
        <v>Kitchen</v>
      </c>
      <c r="I28" s="13" t="str">
        <f>CONCATENATE(Table4[[#This Row],[Product Name]]," ",Table4[[#This Row],[Brand Name]])</f>
        <v>Blender Zara</v>
      </c>
    </row>
    <row r="29" spans="1:16" x14ac:dyDescent="0.25">
      <c r="A29" s="8" t="s">
        <v>105</v>
      </c>
      <c r="B29" s="16">
        <v>46125</v>
      </c>
      <c r="C29" s="17" t="s">
        <v>136</v>
      </c>
      <c r="D29" s="8" t="str">
        <f>PROPER(TRIM(Table2[[#This Row],[Product Name]]))</f>
        <v>Headphones</v>
      </c>
      <c r="E29" s="8" t="s">
        <v>107</v>
      </c>
      <c r="F29" s="10">
        <f>IF(ISBLANK(Table1[[#This Row],[Price ($)]]),MEDIAN(Table1[Price ($)]),Table1[[#This Row],[Price ($)]])</f>
        <v>250</v>
      </c>
      <c r="G29" s="10">
        <v>10</v>
      </c>
      <c r="H29" s="5" t="str">
        <f>IF(ISBLANK(Table2[[#This Row],[Category]]),"Unknown Categoty",Table2[[#This Row],[Category]])</f>
        <v>Electronics</v>
      </c>
      <c r="I29" s="13" t="str">
        <f>CONCATENATE(Table4[[#This Row],[Product Name]]," ",Table4[[#This Row],[Brand Name]])</f>
        <v>Headphones Hamilton</v>
      </c>
    </row>
    <row r="30" spans="1:16" x14ac:dyDescent="0.25">
      <c r="A30" s="5" t="s">
        <v>108</v>
      </c>
      <c r="B30" s="16">
        <v>46166</v>
      </c>
      <c r="C30" s="17" t="s">
        <v>136</v>
      </c>
      <c r="D30" s="5" t="str">
        <f>PROPER(TRIM(Table2[[#This Row],[Product Name]]))</f>
        <v>Dress</v>
      </c>
      <c r="E30" s="5" t="s">
        <v>109</v>
      </c>
      <c r="F30" s="9">
        <f>IF(ISBLANK(Table1[[#This Row],[Price ($)]]),MEDIAN(Table1[Price ($)]),Table1[[#This Row],[Price ($)]])</f>
        <v>60</v>
      </c>
      <c r="G30" s="9">
        <v>5</v>
      </c>
      <c r="H30" s="5" t="str">
        <f>IF(ISBLANK(Table2[[#This Row],[Category]]),"Unknown Categoty",Table2[[#This Row],[Category]])</f>
        <v>Fashion</v>
      </c>
      <c r="I30" s="13" t="str">
        <f>CONCATENATE(Table4[[#This Row],[Product Name]]," ",Table4[[#This Row],[Brand Name]])</f>
        <v>Dress Garmin</v>
      </c>
    </row>
    <row r="31" spans="1:16" x14ac:dyDescent="0.25">
      <c r="A31" s="8" t="s">
        <v>110</v>
      </c>
      <c r="B31" s="16">
        <v>46358</v>
      </c>
      <c r="C31" s="17" t="s">
        <v>136</v>
      </c>
      <c r="D31" s="8" t="str">
        <f>PROPER(TRIM(Table2[[#This Row],[Product Name]]))</f>
        <v>Toaster</v>
      </c>
      <c r="E31" s="8" t="s">
        <v>112</v>
      </c>
      <c r="F31" s="10">
        <f>IF(ISBLANK(Table1[[#This Row],[Price ($)]]),MEDIAN(Table1[Price ($)]),Table1[[#This Row],[Price ($)]])</f>
        <v>40</v>
      </c>
      <c r="G31" s="10">
        <v>50</v>
      </c>
      <c r="H31" s="5" t="str">
        <f>IF(ISBLANK(Table2[[#This Row],[Category]]),"Unknown Categoty",Table2[[#This Row],[Category]])</f>
        <v>Kitchen</v>
      </c>
      <c r="I31" s="13" t="str">
        <f>CONCATENATE(Table4[[#This Row],[Product Name]]," ",Table4[[#This Row],[Brand Name]])</f>
        <v>Toaster Levi's</v>
      </c>
    </row>
    <row r="32" spans="1:16" x14ac:dyDescent="0.25">
      <c r="A32" s="8" t="s">
        <v>113</v>
      </c>
      <c r="B32" s="16">
        <v>46212</v>
      </c>
      <c r="C32" s="17" t="s">
        <v>142</v>
      </c>
      <c r="D32" s="8" t="str">
        <f>PROPER(TRIM(Table2[[#This Row],[Product Name]]))</f>
        <v>Fitness Tracker</v>
      </c>
      <c r="E32" s="8" t="s">
        <v>115</v>
      </c>
      <c r="F32" s="10">
        <f>IF(ISBLANK(Table1[[#This Row],[Price ($)]]),MEDIAN(Table1[Price ($)]),Table1[[#This Row],[Price ($)]])</f>
        <v>130</v>
      </c>
      <c r="G32" s="10">
        <v>20</v>
      </c>
      <c r="H32" s="5" t="str">
        <f>IF(ISBLANK(Table2[[#This Row],[Category]]),"Unknown Categoty",Table2[[#This Row],[Category]])</f>
        <v>Electronics</v>
      </c>
      <c r="I32" s="13" t="str">
        <f>CONCATENATE(Table4[[#This Row],[Product Name]]," ",Table4[[#This Row],[Brand Name]])</f>
        <v>Fitness Tracker Casio</v>
      </c>
      <c r="K32" s="5"/>
      <c r="L32" s="5"/>
      <c r="M32" s="5"/>
      <c r="N32" s="5"/>
      <c r="O32" s="5"/>
      <c r="P32" s="5"/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A65F-F8C9-4ECD-AD10-1F332D5C343F}">
  <dimension ref="A1:R32"/>
  <sheetViews>
    <sheetView workbookViewId="0">
      <selection activeCell="D39" sqref="D39"/>
    </sheetView>
  </sheetViews>
  <sheetFormatPr defaultRowHeight="12.5" x14ac:dyDescent="0.25"/>
  <cols>
    <col min="1" max="1" width="12.36328125" customWidth="1"/>
    <col min="2" max="2" width="17.453125" customWidth="1"/>
    <col min="3" max="3" width="13" customWidth="1"/>
    <col min="4" max="4" width="11.1796875" customWidth="1"/>
    <col min="5" max="5" width="13.08984375" customWidth="1"/>
    <col min="6" max="6" width="14" customWidth="1"/>
    <col min="8" max="8" width="18.453125" customWidth="1"/>
    <col min="9" max="9" width="24.26953125" customWidth="1"/>
  </cols>
  <sheetData>
    <row r="1" spans="1:18" ht="13" x14ac:dyDescent="0.3">
      <c r="A1" s="7" t="s">
        <v>19</v>
      </c>
      <c r="B1" s="12" t="s">
        <v>143</v>
      </c>
      <c r="C1" s="21" t="s">
        <v>144</v>
      </c>
      <c r="D1" s="7" t="s">
        <v>20</v>
      </c>
      <c r="E1" s="7" t="s">
        <v>21</v>
      </c>
      <c r="F1" s="12" t="s">
        <v>146</v>
      </c>
      <c r="G1" s="7" t="s">
        <v>23</v>
      </c>
      <c r="H1" s="7" t="s">
        <v>24</v>
      </c>
      <c r="I1" s="21" t="s">
        <v>145</v>
      </c>
    </row>
    <row r="2" spans="1:18" x14ac:dyDescent="0.25">
      <c r="A2" s="5" t="s">
        <v>25</v>
      </c>
      <c r="B2" s="18">
        <v>46050</v>
      </c>
      <c r="C2" s="17" t="s">
        <v>131</v>
      </c>
      <c r="D2" s="5" t="str">
        <f>PROPER(TRIM(Table2[[#This Row],[Product Name]]))</f>
        <v>Laptop</v>
      </c>
      <c r="E2" s="5" t="s">
        <v>27</v>
      </c>
      <c r="F2" s="19">
        <f>IF(ISBLANK(Table1[[#This Row],[Price ($)]]),MEDIAN(Table1[Price ($)]),Table1[[#This Row],[Price ($)]])</f>
        <v>1000</v>
      </c>
      <c r="G2" s="9">
        <v>30</v>
      </c>
      <c r="H2" s="5" t="str">
        <f>IF(ISBLANK(Table2[[#This Row],[Category]]),"Unknown Categoty",Table2[[#This Row],[Category]])</f>
        <v>Electronics</v>
      </c>
      <c r="I2" s="13" t="str">
        <f>CONCATENATE(Table47[[#This Row],[Product Name]]," ",Table47[[#This Row],[Brand Name]])</f>
        <v>Laptop Dell</v>
      </c>
    </row>
    <row r="3" spans="1:18" ht="15" x14ac:dyDescent="0.3">
      <c r="A3" s="8" t="s">
        <v>29</v>
      </c>
      <c r="B3" s="18">
        <v>46068</v>
      </c>
      <c r="C3" s="17" t="s">
        <v>131</v>
      </c>
      <c r="D3" s="8" t="str">
        <f>PROPER(TRIM(Table2[[#This Row],[Product Name]]))</f>
        <v>Sneakers</v>
      </c>
      <c r="E3" s="8" t="s">
        <v>31</v>
      </c>
      <c r="F3" s="20">
        <f>IF(ISBLANK(Table1[[#This Row],[Price ($)]]),MEDIAN(Table1[Price ($)]),Table1[[#This Row],[Price ($)]])</f>
        <v>80</v>
      </c>
      <c r="G3" s="10">
        <v>15</v>
      </c>
      <c r="H3" s="5" t="str">
        <f>IF(ISBLANK(Table2[[#This Row],[Category]]),"Unknown Categoty",Table2[[#This Row],[Category]])</f>
        <v>Fashion</v>
      </c>
      <c r="I3" s="13" t="str">
        <f>CONCATENATE(Table47[[#This Row],[Product Name]]," ",Table47[[#This Row],[Brand Name]])</f>
        <v>Sneakers Nike</v>
      </c>
      <c r="K3" s="2" t="s">
        <v>13</v>
      </c>
      <c r="L3" s="5"/>
      <c r="M3" s="5"/>
      <c r="N3" s="5"/>
      <c r="O3" s="5"/>
      <c r="P3" s="5"/>
      <c r="Q3" s="5"/>
      <c r="R3" s="5"/>
    </row>
    <row r="4" spans="1:18" ht="15.5" x14ac:dyDescent="0.35">
      <c r="A4" s="5" t="s">
        <v>33</v>
      </c>
      <c r="B4" s="18">
        <v>46084</v>
      </c>
      <c r="C4" s="17" t="s">
        <v>131</v>
      </c>
      <c r="D4" s="5" t="str">
        <f>PROPER(TRIM(Table2[[#This Row],[Product Name]]))</f>
        <v>Coffee Maker</v>
      </c>
      <c r="E4" s="5" t="s">
        <v>35</v>
      </c>
      <c r="F4" s="19">
        <f>IF(ISBLANK(Table1[[#This Row],[Price ($)]]),MEDIAN(Table1[Price ($)]),Table1[[#This Row],[Price ($)]])</f>
        <v>130</v>
      </c>
      <c r="G4" s="9">
        <v>40</v>
      </c>
      <c r="H4" s="5" t="str">
        <f>IF(ISBLANK(Table2[[#This Row],[Category]]),"Unknown Categoty",Table2[[#This Row],[Category]])</f>
        <v>Kitchen</v>
      </c>
      <c r="I4" s="13" t="str">
        <f>CONCATENATE(Table47[[#This Row],[Product Name]]," ",Table47[[#This Row],[Brand Name]])</f>
        <v>Coffee Maker Keurig</v>
      </c>
      <c r="K4" s="5"/>
      <c r="L4" s="3" t="s">
        <v>14</v>
      </c>
      <c r="M4" s="5"/>
      <c r="N4" s="5"/>
      <c r="O4" s="5"/>
      <c r="P4" s="5"/>
      <c r="Q4" s="5"/>
      <c r="R4" s="5"/>
    </row>
    <row r="5" spans="1:18" ht="15.5" x14ac:dyDescent="0.35">
      <c r="A5" s="8" t="s">
        <v>37</v>
      </c>
      <c r="B5" s="18">
        <v>46123</v>
      </c>
      <c r="C5" s="17" t="s">
        <v>131</v>
      </c>
      <c r="D5" s="8" t="str">
        <f>PROPER(TRIM(Table2[[#This Row],[Product Name]]))</f>
        <v>Smartphone</v>
      </c>
      <c r="E5" s="8" t="s">
        <v>39</v>
      </c>
      <c r="F5" s="20">
        <f>IF(ISBLANK(Table1[[#This Row],[Price ($)]]),MEDIAN(Table1[Price ($)]),Table1[[#This Row],[Price ($)]])</f>
        <v>900</v>
      </c>
      <c r="G5" s="10">
        <v>25</v>
      </c>
      <c r="H5" s="5" t="str">
        <f>IF(ISBLANK(Table2[[#This Row],[Category]]),"Unknown Categoty",Table2[[#This Row],[Category]])</f>
        <v>Electronics</v>
      </c>
      <c r="I5" s="13" t="str">
        <f>CONCATENATE(Table47[[#This Row],[Product Name]]," ",Table47[[#This Row],[Brand Name]])</f>
        <v>Smartphone Samsung</v>
      </c>
      <c r="K5" s="5"/>
      <c r="L5" s="3" t="s">
        <v>15</v>
      </c>
      <c r="M5" s="5"/>
      <c r="N5" s="5"/>
      <c r="O5" s="5"/>
      <c r="P5" s="5"/>
      <c r="Q5" s="5"/>
      <c r="R5" s="5"/>
    </row>
    <row r="6" spans="1:18" x14ac:dyDescent="0.25">
      <c r="A6" s="5" t="s">
        <v>40</v>
      </c>
      <c r="B6" s="18">
        <v>46164</v>
      </c>
      <c r="C6" s="17" t="s">
        <v>131</v>
      </c>
      <c r="D6" s="5" t="str">
        <f>PROPER(TRIM(Table2[[#This Row],[Product Name]]))</f>
        <v>Backpack</v>
      </c>
      <c r="E6" s="5" t="s">
        <v>42</v>
      </c>
      <c r="F6" s="19">
        <f>IF(ISBLANK(Table1[[#This Row],[Price ($)]]),MEDIAN(Table1[Price ($)]),Table1[[#This Row],[Price ($)]])</f>
        <v>70</v>
      </c>
      <c r="G6" s="9">
        <v>20</v>
      </c>
      <c r="H6" s="5" t="str">
        <f>IF(ISBLANK(Table2[[#This Row],[Category]]),"Unknown Categoty",Table2[[#This Row],[Category]])</f>
        <v>Unknown Categoty</v>
      </c>
      <c r="I6" s="13" t="str">
        <f>CONCATENATE(Table47[[#This Row],[Product Name]]," ",Table47[[#This Row],[Brand Name]])</f>
        <v>Backpack North Face</v>
      </c>
      <c r="K6" s="5"/>
      <c r="L6" s="5"/>
      <c r="M6" s="5"/>
      <c r="N6" s="5"/>
      <c r="O6" s="5"/>
      <c r="P6" s="5"/>
      <c r="Q6" s="5"/>
      <c r="R6" s="5"/>
    </row>
    <row r="7" spans="1:18" x14ac:dyDescent="0.25">
      <c r="A7" s="8" t="s">
        <v>43</v>
      </c>
      <c r="B7" s="18">
        <v>46180</v>
      </c>
      <c r="C7" s="17" t="s">
        <v>132</v>
      </c>
      <c r="D7" s="8" t="str">
        <f>PROPER(TRIM(Table2[[#This Row],[Product Name]]))</f>
        <v>Headphones</v>
      </c>
      <c r="E7" s="8" t="s">
        <v>45</v>
      </c>
      <c r="F7" s="20">
        <f>IF(ISBLANK(Table1[[#This Row],[Price ($)]]),MEDIAN(Table1[Price ($)]),Table1[[#This Row],[Price ($)]])</f>
        <v>130</v>
      </c>
      <c r="G7" s="10">
        <v>45</v>
      </c>
      <c r="H7" s="5" t="str">
        <f>IF(ISBLANK(Table2[[#This Row],[Category]]),"Unknown Categoty",Table2[[#This Row],[Category]])</f>
        <v>Electronics</v>
      </c>
      <c r="I7" s="13" t="str">
        <f>CONCATENATE(Table47[[#This Row],[Product Name]]," ",Table47[[#This Row],[Brand Name]])</f>
        <v>Headphones Sony</v>
      </c>
    </row>
    <row r="8" spans="1:18" x14ac:dyDescent="0.25">
      <c r="A8" s="5" t="s">
        <v>47</v>
      </c>
      <c r="B8" s="18">
        <v>46222</v>
      </c>
      <c r="C8" s="17" t="s">
        <v>132</v>
      </c>
      <c r="D8" s="5" t="str">
        <f>PROPER(TRIM(Table2[[#This Row],[Product Name]]))</f>
        <v>T-Shirt</v>
      </c>
      <c r="E8" s="5" t="s">
        <v>49</v>
      </c>
      <c r="F8" s="19">
        <f>IF(ISBLANK(Table1[[#This Row],[Price ($)]]),MEDIAN(Table1[Price ($)]),Table1[[#This Row],[Price ($)]])</f>
        <v>30</v>
      </c>
      <c r="G8" s="9">
        <v>5</v>
      </c>
      <c r="H8" s="5" t="str">
        <f>IF(ISBLANK(Table2[[#This Row],[Category]]),"Unknown Categoty",Table2[[#This Row],[Category]])</f>
        <v>Fashion</v>
      </c>
      <c r="I8" s="13" t="str">
        <f>CONCATENATE(Table47[[#This Row],[Product Name]]," ",Table47[[#This Row],[Brand Name]])</f>
        <v>T-Shirt Adidas</v>
      </c>
    </row>
    <row r="9" spans="1:18" x14ac:dyDescent="0.25">
      <c r="A9" s="8" t="s">
        <v>50</v>
      </c>
      <c r="B9" s="18">
        <v>46257</v>
      </c>
      <c r="C9" s="17" t="s">
        <v>132</v>
      </c>
      <c r="D9" s="8" t="str">
        <f>PROPER(TRIM(Table2[[#This Row],[Product Name]]))</f>
        <v>Blender</v>
      </c>
      <c r="E9" s="8" t="s">
        <v>52</v>
      </c>
      <c r="F9" s="20">
        <f>IF(ISBLANK(Table1[[#This Row],[Price ($)]]),MEDIAN(Table1[Price ($)]),Table1[[#This Row],[Price ($)]])</f>
        <v>90</v>
      </c>
      <c r="G9" s="10">
        <v>35</v>
      </c>
      <c r="H9" s="5" t="str">
        <f>IF(ISBLANK(Table2[[#This Row],[Category]]),"Unknown Categoty",Table2[[#This Row],[Category]])</f>
        <v>Kitchen</v>
      </c>
      <c r="I9" s="13" t="str">
        <f>CONCATENATE(Table47[[#This Row],[Product Name]]," ",Table47[[#This Row],[Brand Name]])</f>
        <v>Blender Ninja</v>
      </c>
    </row>
    <row r="10" spans="1:18" x14ac:dyDescent="0.25">
      <c r="A10" s="5" t="s">
        <v>53</v>
      </c>
      <c r="B10" s="18">
        <v>46270</v>
      </c>
      <c r="C10" s="17" t="s">
        <v>132</v>
      </c>
      <c r="D10" s="5" t="str">
        <f>PROPER(TRIM(Table2[[#This Row],[Product Name]]))</f>
        <v>Tablet</v>
      </c>
      <c r="E10" s="5" t="s">
        <v>55</v>
      </c>
      <c r="F10" s="19">
        <f>IF(ISBLANK(Table1[[#This Row],[Price ($)]]),MEDIAN(Table1[Price ($)]),Table1[[#This Row],[Price ($)]])</f>
        <v>500</v>
      </c>
      <c r="G10" s="9">
        <v>50</v>
      </c>
      <c r="H10" s="5" t="str">
        <f>IF(ISBLANK(Table2[[#This Row],[Category]]),"Unknown Categoty",Table2[[#This Row],[Category]])</f>
        <v>Electronics</v>
      </c>
      <c r="I10" s="13" t="str">
        <f>CONCATENATE(Table47[[#This Row],[Product Name]]," ",Table47[[#This Row],[Brand Name]])</f>
        <v>Tablet Apple</v>
      </c>
    </row>
    <row r="11" spans="1:18" x14ac:dyDescent="0.25">
      <c r="A11" s="8" t="s">
        <v>56</v>
      </c>
      <c r="B11" s="18">
        <v>46309</v>
      </c>
      <c r="C11" s="17" t="s">
        <v>132</v>
      </c>
      <c r="D11" s="8" t="str">
        <f>PROPER(TRIM(Table2[[#This Row],[Product Name]]))</f>
        <v>Hiking Boots</v>
      </c>
      <c r="E11" s="8" t="s">
        <v>58</v>
      </c>
      <c r="F11" s="20">
        <f>IF(ISBLANK(Table1[[#This Row],[Price ($)]]),MEDIAN(Table1[Price ($)]),Table1[[#This Row],[Price ($)]])</f>
        <v>130</v>
      </c>
      <c r="G11" s="10">
        <v>10</v>
      </c>
      <c r="H11" s="5" t="str">
        <f>IF(ISBLANK(Table2[[#This Row],[Category]]),"Unknown Categoty",Table2[[#This Row],[Category]])</f>
        <v>Outdoor</v>
      </c>
      <c r="I11" s="13" t="str">
        <f>CONCATENATE(Table47[[#This Row],[Product Name]]," ",Table47[[#This Row],[Brand Name]])</f>
        <v>Hiking Boots Timberland</v>
      </c>
    </row>
    <row r="12" spans="1:18" x14ac:dyDescent="0.25">
      <c r="A12" s="5" t="s">
        <v>60</v>
      </c>
      <c r="B12" s="18">
        <v>46190</v>
      </c>
      <c r="C12" s="17" t="s">
        <v>133</v>
      </c>
      <c r="D12" s="5" t="str">
        <f>PROPER(TRIM(Table2[[#This Row],[Product Name]]))</f>
        <v>Laptop</v>
      </c>
      <c r="E12" s="5" t="s">
        <v>62</v>
      </c>
      <c r="F12" s="19">
        <f>IF(ISBLANK(Table1[[#This Row],[Price ($)]]),MEDIAN(Table1[Price ($)]),Table1[[#This Row],[Price ($)]])</f>
        <v>950</v>
      </c>
      <c r="G12" s="9">
        <v>25</v>
      </c>
      <c r="H12" s="5" t="str">
        <f>IF(ISBLANK(Table2[[#This Row],[Category]]),"Unknown Categoty",Table2[[#This Row],[Category]])</f>
        <v>Electronics</v>
      </c>
      <c r="I12" s="13" t="str">
        <f>CONCATENATE(Table47[[#This Row],[Product Name]]," ",Table47[[#This Row],[Brand Name]])</f>
        <v>Laptop HP</v>
      </c>
    </row>
    <row r="13" spans="1:18" x14ac:dyDescent="0.25">
      <c r="A13" s="8" t="s">
        <v>63</v>
      </c>
      <c r="B13" s="18">
        <v>46351</v>
      </c>
      <c r="C13" s="17" t="s">
        <v>134</v>
      </c>
      <c r="D13" s="8" t="str">
        <f>PROPER(TRIM(Table2[[#This Row],[Product Name]]))</f>
        <v>Sneakers</v>
      </c>
      <c r="E13" s="8" t="s">
        <v>49</v>
      </c>
      <c r="F13" s="20">
        <f>IF(ISBLANK(Table1[[#This Row],[Price ($)]]),MEDIAN(Table1[Price ($)]),Table1[[#This Row],[Price ($)]])</f>
        <v>90</v>
      </c>
      <c r="G13" s="10">
        <v>40</v>
      </c>
      <c r="H13" s="5" t="str">
        <f>IF(ISBLANK(Table2[[#This Row],[Category]]),"Unknown Categoty",Table2[[#This Row],[Category]])</f>
        <v>Unknown Categoty</v>
      </c>
      <c r="I13" s="13" t="str">
        <f>CONCATENATE(Table47[[#This Row],[Product Name]]," ",Table47[[#This Row],[Brand Name]])</f>
        <v>Sneakers Adidas</v>
      </c>
    </row>
    <row r="14" spans="1:18" x14ac:dyDescent="0.25">
      <c r="A14" s="5" t="s">
        <v>64</v>
      </c>
      <c r="B14" s="18">
        <v>46364</v>
      </c>
      <c r="C14" s="17" t="s">
        <v>135</v>
      </c>
      <c r="D14" s="5" t="str">
        <f>PROPER(TRIM(Table2[[#This Row],[Product Name]]))</f>
        <v>Coffee Maker</v>
      </c>
      <c r="E14" s="5" t="s">
        <v>65</v>
      </c>
      <c r="F14" s="19">
        <f>IF(ISBLANK(Table1[[#This Row],[Price ($)]]),MEDIAN(Table1[Price ($)]),Table1[[#This Row],[Price ($)]])</f>
        <v>120</v>
      </c>
      <c r="G14" s="9">
        <v>35</v>
      </c>
      <c r="H14" s="5" t="str">
        <f>IF(ISBLANK(Table2[[#This Row],[Category]]),"Unknown Categoty",Table2[[#This Row],[Category]])</f>
        <v>Unknown Categoty</v>
      </c>
      <c r="I14" s="13" t="str">
        <f>CONCATENATE(Table47[[#This Row],[Product Name]]," ",Table47[[#This Row],[Brand Name]])</f>
        <v>Coffee Maker Nespresso</v>
      </c>
    </row>
    <row r="15" spans="1:18" x14ac:dyDescent="0.25">
      <c r="A15" s="8" t="s">
        <v>66</v>
      </c>
      <c r="B15" s="18">
        <v>46071</v>
      </c>
      <c r="C15" s="17" t="s">
        <v>136</v>
      </c>
      <c r="D15" s="8" t="str">
        <f>PROPER(TRIM(Table2[[#This Row],[Product Name]]))</f>
        <v>Smartwatch</v>
      </c>
      <c r="E15" s="8" t="s">
        <v>68</v>
      </c>
      <c r="F15" s="20">
        <f>IF(ISBLANK(Table1[[#This Row],[Price ($)]]),MEDIAN(Table1[Price ($)]),Table1[[#This Row],[Price ($)]])</f>
        <v>150</v>
      </c>
      <c r="G15" s="10">
        <v>15</v>
      </c>
      <c r="H15" s="5" t="str">
        <f>IF(ISBLANK(Table2[[#This Row],[Category]]),"Unknown Categoty",Table2[[#This Row],[Category]])</f>
        <v>Electronics</v>
      </c>
      <c r="I15" s="13" t="str">
        <f>CONCATENATE(Table47[[#This Row],[Product Name]]," ",Table47[[#This Row],[Brand Name]])</f>
        <v>Smartwatch Fitbit</v>
      </c>
    </row>
    <row r="16" spans="1:18" x14ac:dyDescent="0.25">
      <c r="A16" s="5" t="s">
        <v>69</v>
      </c>
      <c r="B16" s="18">
        <v>46128</v>
      </c>
      <c r="C16" s="17" t="s">
        <v>137</v>
      </c>
      <c r="D16" s="5" t="str">
        <f>PROPER(TRIM(Table2[[#This Row],[Product Name]]))</f>
        <v>Headphones</v>
      </c>
      <c r="E16" s="5" t="s">
        <v>71</v>
      </c>
      <c r="F16" s="19">
        <f>IF(ISBLANK(Table1[[#This Row],[Price ($)]]),MEDIAN(Table1[Price ($)]),Table1[[#This Row],[Price ($)]])</f>
        <v>250</v>
      </c>
      <c r="G16" s="9">
        <v>20</v>
      </c>
      <c r="H16" s="5" t="str">
        <f>IF(ISBLANK(Table2[[#This Row],[Category]]),"Unknown Categoty",Table2[[#This Row],[Category]])</f>
        <v>Electronics</v>
      </c>
      <c r="I16" s="13" t="str">
        <f>CONCATENATE(Table47[[#This Row],[Product Name]]," ",Table47[[#This Row],[Brand Name]])</f>
        <v>Headphones Bose</v>
      </c>
    </row>
    <row r="17" spans="1:9" x14ac:dyDescent="0.25">
      <c r="A17" s="8" t="s">
        <v>72</v>
      </c>
      <c r="B17" s="18">
        <v>46255</v>
      </c>
      <c r="C17" s="17" t="s">
        <v>136</v>
      </c>
      <c r="D17" s="8" t="str">
        <f>PROPER(TRIM(Table2[[#This Row],[Product Name]]))</f>
        <v>Laptop Bag</v>
      </c>
      <c r="E17" s="8" t="s">
        <v>74</v>
      </c>
      <c r="F17" s="20">
        <f>IF(ISBLANK(Table1[[#This Row],[Price ($)]]),MEDIAN(Table1[Price ($)]),Table1[[#This Row],[Price ($)]])</f>
        <v>50</v>
      </c>
      <c r="G17" s="10">
        <v>35</v>
      </c>
      <c r="H17" s="5" t="str">
        <f>IF(ISBLANK(Table2[[#This Row],[Category]]),"Unknown Categoty",Table2[[#This Row],[Category]])</f>
        <v>Accessories</v>
      </c>
      <c r="I17" s="13" t="str">
        <f>CONCATENATE(Table47[[#This Row],[Product Name]]," ",Table47[[#This Row],[Brand Name]])</f>
        <v>Laptop Bag Samsonite</v>
      </c>
    </row>
    <row r="18" spans="1:9" x14ac:dyDescent="0.25">
      <c r="A18" s="5" t="s">
        <v>76</v>
      </c>
      <c r="B18" s="18">
        <v>46254</v>
      </c>
      <c r="C18" s="17" t="s">
        <v>138</v>
      </c>
      <c r="D18" s="5" t="str">
        <f>PROPER(TRIM(Table2[[#This Row],[Product Name]]))</f>
        <v>Smartwatch</v>
      </c>
      <c r="E18" s="5" t="s">
        <v>77</v>
      </c>
      <c r="F18" s="19">
        <f>IF(ISBLANK(Table1[[#This Row],[Price ($)]]),MEDIAN(Table1[Price ($)]),Table1[[#This Row],[Price ($)]])</f>
        <v>160</v>
      </c>
      <c r="G18" s="9">
        <v>15</v>
      </c>
      <c r="H18" s="5" t="str">
        <f>IF(ISBLANK(Table2[[#This Row],[Category]]),"Unknown Categoty",Table2[[#This Row],[Category]])</f>
        <v>Electronics</v>
      </c>
      <c r="I18" s="13" t="str">
        <f>CONCATENATE(Table47[[#This Row],[Product Name]]," ",Table47[[#This Row],[Brand Name]])</f>
        <v>Smartwatch Huawei</v>
      </c>
    </row>
    <row r="19" spans="1:9" x14ac:dyDescent="0.25">
      <c r="A19" s="8" t="s">
        <v>78</v>
      </c>
      <c r="B19" s="18">
        <v>46049</v>
      </c>
      <c r="C19" s="17" t="s">
        <v>139</v>
      </c>
      <c r="D19" s="8" t="str">
        <f>PROPER(TRIM(Table2[[#This Row],[Product Name]]))</f>
        <v>Laptop</v>
      </c>
      <c r="E19" s="8" t="s">
        <v>79</v>
      </c>
      <c r="F19" s="20">
        <f>IF(ISBLANK(Table1[[#This Row],[Price ($)]]),MEDIAN(Table1[Price ($)]),Table1[[#This Row],[Price ($)]])</f>
        <v>980</v>
      </c>
      <c r="G19" s="10">
        <v>10</v>
      </c>
      <c r="H19" s="5" t="str">
        <f>IF(ISBLANK(Table2[[#This Row],[Category]]),"Unknown Categoty",Table2[[#This Row],[Category]])</f>
        <v>Electronics</v>
      </c>
      <c r="I19" s="13" t="str">
        <f>CONCATENATE(Table47[[#This Row],[Product Name]]," ",Table47[[#This Row],[Brand Name]])</f>
        <v>Laptop Asus</v>
      </c>
    </row>
    <row r="20" spans="1:9" x14ac:dyDescent="0.25">
      <c r="A20" s="5" t="s">
        <v>80</v>
      </c>
      <c r="B20" s="18">
        <v>46082</v>
      </c>
      <c r="C20" s="17" t="s">
        <v>132</v>
      </c>
      <c r="D20" s="5" t="str">
        <f>PROPER(TRIM(Table2[[#This Row],[Product Name]]))</f>
        <v>Sunglasses</v>
      </c>
      <c r="E20" s="5" t="s">
        <v>82</v>
      </c>
      <c r="F20" s="19">
        <f>IF(ISBLANK(Table1[[#This Row],[Price ($)]]),MEDIAN(Table1[Price ($)]),Table1[[#This Row],[Price ($)]])</f>
        <v>150</v>
      </c>
      <c r="G20" s="9">
        <v>15</v>
      </c>
      <c r="H20" s="5" t="str">
        <f>IF(ISBLANK(Table2[[#This Row],[Category]]),"Unknown Categoty",Table2[[#This Row],[Category]])</f>
        <v>Fashion</v>
      </c>
      <c r="I20" s="13" t="str">
        <f>CONCATENATE(Table47[[#This Row],[Product Name]]," ",Table47[[#This Row],[Brand Name]])</f>
        <v>Sunglasses Oakley</v>
      </c>
    </row>
    <row r="21" spans="1:9" x14ac:dyDescent="0.25">
      <c r="A21" s="8" t="s">
        <v>83</v>
      </c>
      <c r="B21" s="18">
        <v>46248</v>
      </c>
      <c r="C21" s="17" t="s">
        <v>131</v>
      </c>
      <c r="D21" s="8" t="str">
        <f>PROPER(TRIM(Table2[[#This Row],[Product Name]]))</f>
        <v>Camping Tent</v>
      </c>
      <c r="E21" s="8" t="s">
        <v>85</v>
      </c>
      <c r="F21" s="20">
        <f>IF(ISBLANK(Table1[[#This Row],[Price ($)]]),MEDIAN(Table1[Price ($)]),Table1[[#This Row],[Price ($)]])</f>
        <v>130</v>
      </c>
      <c r="G21" s="10">
        <v>10</v>
      </c>
      <c r="H21" s="5" t="str">
        <f>IF(ISBLANK(Table2[[#This Row],[Category]]),"Unknown Categoty",Table2[[#This Row],[Category]])</f>
        <v>Outdoor</v>
      </c>
      <c r="I21" s="13" t="str">
        <f>CONCATENATE(Table47[[#This Row],[Product Name]]," ",Table47[[#This Row],[Brand Name]])</f>
        <v>Camping Tent Coleman</v>
      </c>
    </row>
    <row r="22" spans="1:9" x14ac:dyDescent="0.25">
      <c r="A22" s="5" t="s">
        <v>86</v>
      </c>
      <c r="B22" s="18">
        <v>46156</v>
      </c>
      <c r="C22" s="17" t="s">
        <v>140</v>
      </c>
      <c r="D22" s="5" t="str">
        <f>PROPER(TRIM(Table2[[#This Row],[Product Name]]))</f>
        <v>Camera</v>
      </c>
      <c r="E22" s="5" t="s">
        <v>88</v>
      </c>
      <c r="F22" s="19">
        <f>IF(ISBLANK(Table1[[#This Row],[Price ($)]]),MEDIAN(Table1[Price ($)]),Table1[[#This Row],[Price ($)]])</f>
        <v>700</v>
      </c>
      <c r="G22" s="9">
        <v>50</v>
      </c>
      <c r="H22" s="5" t="str">
        <f>IF(ISBLANK(Table2[[#This Row],[Category]]),"Unknown Categoty",Table2[[#This Row],[Category]])</f>
        <v>Electronics</v>
      </c>
      <c r="I22" s="13" t="str">
        <f>CONCATENATE(Table47[[#This Row],[Product Name]]," ",Table47[[#This Row],[Brand Name]])</f>
        <v>Camera Nikon</v>
      </c>
    </row>
    <row r="23" spans="1:9" x14ac:dyDescent="0.25">
      <c r="A23" s="8" t="s">
        <v>89</v>
      </c>
      <c r="B23" s="18">
        <v>46031</v>
      </c>
      <c r="C23" s="17" t="s">
        <v>136</v>
      </c>
      <c r="D23" s="8" t="str">
        <f>PROPER(TRIM(Table2[[#This Row],[Product Name]]))</f>
        <v>Microwave</v>
      </c>
      <c r="E23" s="8" t="s">
        <v>91</v>
      </c>
      <c r="F23" s="20">
        <f>IF(ISBLANK(Table1[[#This Row],[Price ($)]]),MEDIAN(Table1[Price ($)]),Table1[[#This Row],[Price ($)]])</f>
        <v>80</v>
      </c>
      <c r="G23" s="10">
        <v>20</v>
      </c>
      <c r="H23" s="5" t="str">
        <f>IF(ISBLANK(Table2[[#This Row],[Category]]),"Unknown Categoty",Table2[[#This Row],[Category]])</f>
        <v>Kitchen</v>
      </c>
      <c r="I23" s="13" t="str">
        <f>CONCATENATE(Table47[[#This Row],[Product Name]]," ",Table47[[#This Row],[Brand Name]])</f>
        <v>Microwave Panasonic</v>
      </c>
    </row>
    <row r="24" spans="1:9" x14ac:dyDescent="0.25">
      <c r="A24" s="5" t="s">
        <v>92</v>
      </c>
      <c r="B24" s="18">
        <v>46222</v>
      </c>
      <c r="C24" s="17" t="s">
        <v>141</v>
      </c>
      <c r="D24" s="5" t="str">
        <f>PROPER(TRIM(Table2[[#This Row],[Product Name]]))</f>
        <v>Fitness Tracker</v>
      </c>
      <c r="E24" s="5" t="s">
        <v>94</v>
      </c>
      <c r="F24" s="19">
        <f>IF(ISBLANK(Table1[[#This Row],[Price ($)]]),MEDIAN(Table1[Price ($)]),Table1[[#This Row],[Price ($)]])</f>
        <v>150</v>
      </c>
      <c r="G24" s="9">
        <v>30</v>
      </c>
      <c r="H24" s="5" t="str">
        <f>IF(ISBLANK(Table2[[#This Row],[Category]]),"Unknown Categoty",Table2[[#This Row],[Category]])</f>
        <v>Unknown Categoty</v>
      </c>
      <c r="I24" s="13" t="str">
        <f>CONCATENATE(Table47[[#This Row],[Product Name]]," ",Table47[[#This Row],[Brand Name]])</f>
        <v>Fitness Tracker Xiaomi</v>
      </c>
    </row>
    <row r="25" spans="1:9" x14ac:dyDescent="0.25">
      <c r="A25" s="5" t="s">
        <v>95</v>
      </c>
      <c r="B25" s="18">
        <v>46294</v>
      </c>
      <c r="C25" s="17" t="s">
        <v>136</v>
      </c>
      <c r="D25" s="5" t="str">
        <f>PROPER(TRIM(Table2[[#This Row],[Product Name]]))</f>
        <v>Laptop Bag</v>
      </c>
      <c r="E25" s="5" t="s">
        <v>97</v>
      </c>
      <c r="F25" s="19">
        <f>IF(ISBLANK(Table1[[#This Row],[Price ($)]]),MEDIAN(Table1[Price ($)]),Table1[[#This Row],[Price ($)]])</f>
        <v>50</v>
      </c>
      <c r="G25" s="9">
        <v>45</v>
      </c>
      <c r="H25" s="5" t="str">
        <f>IF(ISBLANK(Table2[[#This Row],[Category]]),"Unknown Categoty",Table2[[#This Row],[Category]])</f>
        <v>Accessories</v>
      </c>
      <c r="I25" s="13" t="str">
        <f>CONCATENATE(Table47[[#This Row],[Product Name]]," ",Table47[[#This Row],[Brand Name]])</f>
        <v>Laptop Bag Google</v>
      </c>
    </row>
    <row r="26" spans="1:9" x14ac:dyDescent="0.25">
      <c r="A26" s="8" t="s">
        <v>98</v>
      </c>
      <c r="B26" s="18">
        <v>46176</v>
      </c>
      <c r="C26" s="17" t="s">
        <v>136</v>
      </c>
      <c r="D26" s="8" t="str">
        <f>PROPER(TRIM(Table2[[#This Row],[Product Name]]))</f>
        <v>Smartphone</v>
      </c>
      <c r="E26" s="8" t="s">
        <v>99</v>
      </c>
      <c r="F26" s="20">
        <f>IF(ISBLANK(Table1[[#This Row],[Price ($)]]),MEDIAN(Table1[Price ($)]),Table1[[#This Row],[Price ($)]])</f>
        <v>800</v>
      </c>
      <c r="G26" s="10">
        <v>25</v>
      </c>
      <c r="H26" s="5" t="str">
        <f>IF(ISBLANK(Table2[[#This Row],[Category]]),"Unknown Categoty",Table2[[#This Row],[Category]])</f>
        <v>Electronics</v>
      </c>
      <c r="I26" s="13" t="str">
        <f>CONCATENATE(Table47[[#This Row],[Product Name]]," ",Table47[[#This Row],[Brand Name]])</f>
        <v>Smartphone Ray-Ban</v>
      </c>
    </row>
    <row r="27" spans="1:9" x14ac:dyDescent="0.25">
      <c r="A27" s="5" t="s">
        <v>100</v>
      </c>
      <c r="B27" s="18">
        <v>46214</v>
      </c>
      <c r="C27" s="17" t="s">
        <v>136</v>
      </c>
      <c r="D27" s="5" t="str">
        <f>PROPER(TRIM(Table2[[#This Row],[Product Name]]))</f>
        <v>Sunglasses</v>
      </c>
      <c r="E27" s="5" t="s">
        <v>101</v>
      </c>
      <c r="F27" s="19">
        <f>IF(ISBLANK(Table1[[#This Row],[Price ($)]]),MEDIAN(Table1[Price ($)]),Table1[[#This Row],[Price ($)]])</f>
        <v>130</v>
      </c>
      <c r="G27" s="9">
        <v>40</v>
      </c>
      <c r="H27" s="5" t="str">
        <f>IF(ISBLANK(Table2[[#This Row],[Category]]),"Unknown Categoty",Table2[[#This Row],[Category]])</f>
        <v>Fashion</v>
      </c>
      <c r="I27" s="13" t="str">
        <f>CONCATENATE(Table47[[#This Row],[Product Name]]," ",Table47[[#This Row],[Brand Name]])</f>
        <v>Sunglasses Vitamix</v>
      </c>
    </row>
    <row r="28" spans="1:9" x14ac:dyDescent="0.25">
      <c r="A28" s="5" t="s">
        <v>102</v>
      </c>
      <c r="B28" s="18">
        <v>46088</v>
      </c>
      <c r="C28" s="17" t="s">
        <v>136</v>
      </c>
      <c r="D28" s="5" t="str">
        <f>PROPER(TRIM(Table2[[#This Row],[Product Name]]))</f>
        <v>Blender</v>
      </c>
      <c r="E28" s="5" t="s">
        <v>104</v>
      </c>
      <c r="F28" s="19">
        <f>IF(ISBLANK(Table1[[#This Row],[Price ($)]]),MEDIAN(Table1[Price ($)]),Table1[[#This Row],[Price ($)]])</f>
        <v>400</v>
      </c>
      <c r="G28" s="9">
        <v>30</v>
      </c>
      <c r="H28" s="5" t="str">
        <f>IF(ISBLANK(Table2[[#This Row],[Category]]),"Unknown Categoty",Table2[[#This Row],[Category]])</f>
        <v>Kitchen</v>
      </c>
      <c r="I28" s="13" t="str">
        <f>CONCATENATE(Table47[[#This Row],[Product Name]]," ",Table47[[#This Row],[Brand Name]])</f>
        <v>Blender Zara</v>
      </c>
    </row>
    <row r="29" spans="1:9" x14ac:dyDescent="0.25">
      <c r="A29" s="8" t="s">
        <v>105</v>
      </c>
      <c r="B29" s="18">
        <v>46125</v>
      </c>
      <c r="C29" s="17" t="s">
        <v>136</v>
      </c>
      <c r="D29" s="8" t="str">
        <f>PROPER(TRIM(Table2[[#This Row],[Product Name]]))</f>
        <v>Headphones</v>
      </c>
      <c r="E29" s="8" t="s">
        <v>107</v>
      </c>
      <c r="F29" s="20">
        <f>IF(ISBLANK(Table1[[#This Row],[Price ($)]]),MEDIAN(Table1[Price ($)]),Table1[[#This Row],[Price ($)]])</f>
        <v>250</v>
      </c>
      <c r="G29" s="10">
        <v>10</v>
      </c>
      <c r="H29" s="5" t="str">
        <f>IF(ISBLANK(Table2[[#This Row],[Category]]),"Unknown Categoty",Table2[[#This Row],[Category]])</f>
        <v>Electronics</v>
      </c>
      <c r="I29" s="13" t="str">
        <f>CONCATENATE(Table47[[#This Row],[Product Name]]," ",Table47[[#This Row],[Brand Name]])</f>
        <v>Headphones Hamilton</v>
      </c>
    </row>
    <row r="30" spans="1:9" x14ac:dyDescent="0.25">
      <c r="A30" s="5" t="s">
        <v>108</v>
      </c>
      <c r="B30" s="18">
        <v>46166</v>
      </c>
      <c r="C30" s="17" t="s">
        <v>136</v>
      </c>
      <c r="D30" s="5" t="str">
        <f>PROPER(TRIM(Table2[[#This Row],[Product Name]]))</f>
        <v>Dress</v>
      </c>
      <c r="E30" s="5" t="s">
        <v>109</v>
      </c>
      <c r="F30" s="19">
        <f>IF(ISBLANK(Table1[[#This Row],[Price ($)]]),MEDIAN(Table1[Price ($)]),Table1[[#This Row],[Price ($)]])</f>
        <v>60</v>
      </c>
      <c r="G30" s="9">
        <v>5</v>
      </c>
      <c r="H30" s="5" t="str">
        <f>IF(ISBLANK(Table2[[#This Row],[Category]]),"Unknown Categoty",Table2[[#This Row],[Category]])</f>
        <v>Fashion</v>
      </c>
      <c r="I30" s="13" t="str">
        <f>CONCATENATE(Table47[[#This Row],[Product Name]]," ",Table47[[#This Row],[Brand Name]])</f>
        <v>Dress Garmin</v>
      </c>
    </row>
    <row r="31" spans="1:9" x14ac:dyDescent="0.25">
      <c r="A31" s="8" t="s">
        <v>110</v>
      </c>
      <c r="B31" s="18">
        <v>46358</v>
      </c>
      <c r="C31" s="17" t="s">
        <v>136</v>
      </c>
      <c r="D31" s="8" t="str">
        <f>PROPER(TRIM(Table2[[#This Row],[Product Name]]))</f>
        <v>Toaster</v>
      </c>
      <c r="E31" s="8" t="s">
        <v>112</v>
      </c>
      <c r="F31" s="20">
        <f>IF(ISBLANK(Table1[[#This Row],[Price ($)]]),MEDIAN(Table1[Price ($)]),Table1[[#This Row],[Price ($)]])</f>
        <v>40</v>
      </c>
      <c r="G31" s="10">
        <v>50</v>
      </c>
      <c r="H31" s="5" t="str">
        <f>IF(ISBLANK(Table2[[#This Row],[Category]]),"Unknown Categoty",Table2[[#This Row],[Category]])</f>
        <v>Kitchen</v>
      </c>
      <c r="I31" s="13" t="str">
        <f>CONCATENATE(Table47[[#This Row],[Product Name]]," ",Table47[[#This Row],[Brand Name]])</f>
        <v>Toaster Levi's</v>
      </c>
    </row>
    <row r="32" spans="1:9" x14ac:dyDescent="0.25">
      <c r="A32" s="8" t="s">
        <v>113</v>
      </c>
      <c r="B32" s="18">
        <v>46212</v>
      </c>
      <c r="C32" s="17" t="s">
        <v>142</v>
      </c>
      <c r="D32" s="8" t="str">
        <f>PROPER(TRIM(Table2[[#This Row],[Product Name]]))</f>
        <v>Fitness Tracker</v>
      </c>
      <c r="E32" s="8" t="s">
        <v>115</v>
      </c>
      <c r="F32" s="20">
        <f>IF(ISBLANK(Table1[[#This Row],[Price ($)]]),MEDIAN(Table1[Price ($)]),Table1[[#This Row],[Price ($)]])</f>
        <v>130</v>
      </c>
      <c r="G32" s="10">
        <v>20</v>
      </c>
      <c r="H32" s="5" t="str">
        <f>IF(ISBLANK(Table2[[#This Row],[Category]]),"Unknown Categoty",Table2[[#This Row],[Category]])</f>
        <v>Electronics</v>
      </c>
      <c r="I32" s="13" t="str">
        <f>CONCATENATE(Table47[[#This Row],[Product Name]]," ",Table47[[#This Row],[Brand Name]])</f>
        <v>Fitness Tracker Casio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9247-2627-477C-BD98-2AA6E777A810}">
  <dimension ref="A1:T32"/>
  <sheetViews>
    <sheetView tabSelected="1" topLeftCell="C15" workbookViewId="0">
      <selection activeCell="K32" sqref="K32"/>
    </sheetView>
  </sheetViews>
  <sheetFormatPr defaultRowHeight="12.5" x14ac:dyDescent="0.25"/>
  <cols>
    <col min="1" max="1" width="16.7265625" customWidth="1"/>
    <col min="2" max="2" width="15.81640625" customWidth="1"/>
    <col min="4" max="4" width="15.453125" customWidth="1"/>
    <col min="6" max="6" width="14.7265625" customWidth="1"/>
    <col min="8" max="8" width="15.54296875" customWidth="1"/>
    <col min="9" max="9" width="27.54296875" customWidth="1"/>
  </cols>
  <sheetData>
    <row r="1" spans="1:20" ht="13" x14ac:dyDescent="0.3">
      <c r="A1" s="7" t="s">
        <v>19</v>
      </c>
      <c r="B1" s="21" t="s">
        <v>143</v>
      </c>
      <c r="C1" s="21" t="s">
        <v>144</v>
      </c>
      <c r="D1" s="7" t="s">
        <v>20</v>
      </c>
      <c r="E1" s="7" t="s">
        <v>21</v>
      </c>
      <c r="F1" s="12" t="s">
        <v>146</v>
      </c>
      <c r="G1" s="7" t="s">
        <v>23</v>
      </c>
      <c r="H1" s="12" t="s">
        <v>24</v>
      </c>
      <c r="I1" s="21" t="s">
        <v>145</v>
      </c>
    </row>
    <row r="2" spans="1:20" x14ac:dyDescent="0.25">
      <c r="A2" s="5" t="s">
        <v>25</v>
      </c>
      <c r="B2" s="18">
        <v>46050</v>
      </c>
      <c r="C2" s="17" t="s">
        <v>131</v>
      </c>
      <c r="D2" s="5" t="str">
        <f>PROPER(TRIM(Table2[[#This Row],[Product Name]]))</f>
        <v>Laptop</v>
      </c>
      <c r="E2" s="5" t="s">
        <v>27</v>
      </c>
      <c r="F2" s="19">
        <f>IF(ISBLANK(Table1[[#This Row],[Price ($)]]),MEDIAN(Table1[Price ($)]),Table1[[#This Row],[Price ($)]])</f>
        <v>1000</v>
      </c>
      <c r="G2" s="9">
        <v>30</v>
      </c>
      <c r="H2" s="5" t="str">
        <f>IF(ISBLANK(Table2[[#This Row],[Category]]),"Unknown Categoty",Table2[[#This Row],[Category]])</f>
        <v>Electronics</v>
      </c>
      <c r="I2" s="13" t="str">
        <f>CONCATENATE(Table478[[#This Row],[Product Name]]," ",Table478[[#This Row],[Brand Name]])</f>
        <v>Laptop Dell</v>
      </c>
    </row>
    <row r="3" spans="1:20" ht="15" x14ac:dyDescent="0.3">
      <c r="A3" s="8" t="s">
        <v>29</v>
      </c>
      <c r="B3" s="18">
        <v>46068</v>
      </c>
      <c r="C3" s="17" t="s">
        <v>131</v>
      </c>
      <c r="D3" s="8" t="str">
        <f>PROPER(TRIM(Table2[[#This Row],[Product Name]]))</f>
        <v>Sneakers</v>
      </c>
      <c r="E3" s="8" t="s">
        <v>31</v>
      </c>
      <c r="F3" s="20">
        <f>IF(ISBLANK(Table1[[#This Row],[Price ($)]]),MEDIAN(Table1[Price ($)]),Table1[[#This Row],[Price ($)]])</f>
        <v>80</v>
      </c>
      <c r="G3" s="10">
        <v>15</v>
      </c>
      <c r="H3" s="5" t="str">
        <f>IF(ISBLANK(Table2[[#This Row],[Category]]),"Unknown Categoty",Table2[[#This Row],[Category]])</f>
        <v>Fashion</v>
      </c>
      <c r="I3" s="13" t="str">
        <f>CONCATENATE(Table478[[#This Row],[Product Name]]," ",Table478[[#This Row],[Brand Name]])</f>
        <v>Sneakers Nike</v>
      </c>
      <c r="K3" s="2" t="s">
        <v>16</v>
      </c>
      <c r="L3" s="5"/>
      <c r="M3" s="5"/>
      <c r="N3" s="5"/>
      <c r="O3" s="5"/>
      <c r="P3" s="5"/>
      <c r="Q3" s="5"/>
      <c r="R3" s="5"/>
      <c r="S3" s="5"/>
      <c r="T3" s="5"/>
    </row>
    <row r="4" spans="1:20" ht="15.5" x14ac:dyDescent="0.35">
      <c r="A4" s="5" t="s">
        <v>33</v>
      </c>
      <c r="B4" s="18">
        <v>46084</v>
      </c>
      <c r="C4" s="17" t="s">
        <v>131</v>
      </c>
      <c r="D4" s="5" t="str">
        <f>PROPER(TRIM(Table2[[#This Row],[Product Name]]))</f>
        <v>Coffee Maker</v>
      </c>
      <c r="E4" s="5" t="s">
        <v>35</v>
      </c>
      <c r="F4" s="19">
        <f>IF(ISBLANK(Table1[[#This Row],[Price ($)]]),MEDIAN(Table1[Price ($)]),Table1[[#This Row],[Price ($)]])</f>
        <v>130</v>
      </c>
      <c r="G4" s="9">
        <v>40</v>
      </c>
      <c r="H4" s="5" t="str">
        <f>IF(ISBLANK(Table2[[#This Row],[Category]]),"Unknown Categoty",Table2[[#This Row],[Category]])</f>
        <v>Kitchen</v>
      </c>
      <c r="I4" s="13" t="str">
        <f>CONCATENATE(Table478[[#This Row],[Product Name]]," ",Table478[[#This Row],[Brand Name]])</f>
        <v>Coffee Maker Keurig</v>
      </c>
      <c r="K4" s="5"/>
      <c r="L4" s="3" t="s">
        <v>17</v>
      </c>
      <c r="M4" s="5"/>
      <c r="N4" s="5"/>
      <c r="O4" s="5"/>
      <c r="P4" s="5"/>
      <c r="Q4" s="5"/>
      <c r="R4" s="5"/>
      <c r="S4" s="5"/>
      <c r="T4" s="5"/>
    </row>
    <row r="5" spans="1:20" ht="15.5" x14ac:dyDescent="0.35">
      <c r="A5" s="8" t="s">
        <v>37</v>
      </c>
      <c r="B5" s="18">
        <v>46123</v>
      </c>
      <c r="C5" s="17" t="s">
        <v>131</v>
      </c>
      <c r="D5" s="8" t="str">
        <f>PROPER(TRIM(Table2[[#This Row],[Product Name]]))</f>
        <v>Smartphone</v>
      </c>
      <c r="E5" s="8" t="s">
        <v>39</v>
      </c>
      <c r="F5" s="20">
        <f>IF(ISBLANK(Table1[[#This Row],[Price ($)]]),MEDIAN(Table1[Price ($)]),Table1[[#This Row],[Price ($)]])</f>
        <v>900</v>
      </c>
      <c r="G5" s="10">
        <v>25</v>
      </c>
      <c r="H5" s="5" t="str">
        <f>IF(ISBLANK(Table2[[#This Row],[Category]]),"Unknown Categoty",Table2[[#This Row],[Category]])</f>
        <v>Electronics</v>
      </c>
      <c r="I5" s="13" t="str">
        <f>CONCATENATE(Table478[[#This Row],[Product Name]]," ",Table478[[#This Row],[Brand Name]])</f>
        <v>Smartphone Samsung</v>
      </c>
      <c r="K5" s="5"/>
      <c r="L5" s="3" t="s">
        <v>18</v>
      </c>
      <c r="M5" s="5"/>
      <c r="N5" s="5"/>
      <c r="O5" s="5"/>
      <c r="P5" s="5"/>
      <c r="Q5" s="5"/>
      <c r="R5" s="5"/>
      <c r="S5" s="5"/>
      <c r="T5" s="5"/>
    </row>
    <row r="6" spans="1:20" ht="15.5" x14ac:dyDescent="0.35">
      <c r="A6" s="5" t="s">
        <v>40</v>
      </c>
      <c r="B6" s="18">
        <v>46164</v>
      </c>
      <c r="C6" s="17" t="s">
        <v>131</v>
      </c>
      <c r="D6" s="5" t="str">
        <f>PROPER(TRIM(Table2[[#This Row],[Product Name]]))</f>
        <v>Backpack</v>
      </c>
      <c r="E6" s="5" t="s">
        <v>42</v>
      </c>
      <c r="F6" s="19">
        <f>IF(ISBLANK(Table1[[#This Row],[Price ($)]]),MEDIAN(Table1[Price ($)]),Table1[[#This Row],[Price ($)]])</f>
        <v>70</v>
      </c>
      <c r="G6" s="9">
        <v>20</v>
      </c>
      <c r="H6" s="5" t="str">
        <f>IF(ISBLANK(Table2[[#This Row],[Category]]),"Unknown Categoty",Table2[[#This Row],[Category]])</f>
        <v>Unknown Categoty</v>
      </c>
      <c r="I6" s="13" t="str">
        <f>CONCATENATE(Table478[[#This Row],[Product Name]]," ",Table478[[#This Row],[Brand Name]])</f>
        <v>Backpack North Face</v>
      </c>
      <c r="K6" s="5"/>
      <c r="L6" s="3"/>
      <c r="M6" s="5"/>
      <c r="N6" s="5"/>
      <c r="O6" s="5"/>
      <c r="P6" s="5"/>
      <c r="Q6" s="5"/>
      <c r="R6" s="5"/>
      <c r="S6" s="5"/>
      <c r="T6" s="5"/>
    </row>
    <row r="7" spans="1:20" x14ac:dyDescent="0.25">
      <c r="A7" s="8" t="s">
        <v>43</v>
      </c>
      <c r="B7" s="18">
        <v>46180</v>
      </c>
      <c r="C7" s="17" t="s">
        <v>132</v>
      </c>
      <c r="D7" s="8" t="str">
        <f>PROPER(TRIM(Table2[[#This Row],[Product Name]]))</f>
        <v>Headphones</v>
      </c>
      <c r="E7" s="8" t="s">
        <v>45</v>
      </c>
      <c r="F7" s="20">
        <f>IF(ISBLANK(Table1[[#This Row],[Price ($)]]),MEDIAN(Table1[Price ($)]),Table1[[#This Row],[Price ($)]])</f>
        <v>130</v>
      </c>
      <c r="G7" s="10">
        <v>45</v>
      </c>
      <c r="H7" s="5" t="str">
        <f>IF(ISBLANK(Table2[[#This Row],[Category]]),"Unknown Categoty",Table2[[#This Row],[Category]])</f>
        <v>Electronics</v>
      </c>
      <c r="I7" s="13" t="str">
        <f>CONCATENATE(Table478[[#This Row],[Product Name]]," ",Table478[[#This Row],[Brand Name]])</f>
        <v>Headphones Sony</v>
      </c>
    </row>
    <row r="8" spans="1:20" x14ac:dyDescent="0.25">
      <c r="A8" s="5" t="s">
        <v>47</v>
      </c>
      <c r="B8" s="18">
        <v>46222</v>
      </c>
      <c r="C8" s="17" t="s">
        <v>132</v>
      </c>
      <c r="D8" s="5" t="str">
        <f>PROPER(TRIM(Table2[[#This Row],[Product Name]]))</f>
        <v>T-Shirt</v>
      </c>
      <c r="E8" s="5" t="s">
        <v>49</v>
      </c>
      <c r="F8" s="19">
        <f>IF(ISBLANK(Table1[[#This Row],[Price ($)]]),MEDIAN(Table1[Price ($)]),Table1[[#This Row],[Price ($)]])</f>
        <v>30</v>
      </c>
      <c r="G8" s="9">
        <v>5</v>
      </c>
      <c r="H8" s="5" t="str">
        <f>IF(ISBLANK(Table2[[#This Row],[Category]]),"Unknown Categoty",Table2[[#This Row],[Category]])</f>
        <v>Fashion</v>
      </c>
      <c r="I8" s="13" t="str">
        <f>CONCATENATE(Table478[[#This Row],[Product Name]]," ",Table478[[#This Row],[Brand Name]])</f>
        <v>T-Shirt Adidas</v>
      </c>
    </row>
    <row r="9" spans="1:20" x14ac:dyDescent="0.25">
      <c r="A9" s="8" t="s">
        <v>50</v>
      </c>
      <c r="B9" s="18">
        <v>46257</v>
      </c>
      <c r="C9" s="17" t="s">
        <v>132</v>
      </c>
      <c r="D9" s="8" t="str">
        <f>PROPER(TRIM(Table2[[#This Row],[Product Name]]))</f>
        <v>Blender</v>
      </c>
      <c r="E9" s="8" t="s">
        <v>52</v>
      </c>
      <c r="F9" s="20">
        <f>IF(ISBLANK(Table1[[#This Row],[Price ($)]]),MEDIAN(Table1[Price ($)]),Table1[[#This Row],[Price ($)]])</f>
        <v>90</v>
      </c>
      <c r="G9" s="10">
        <v>35</v>
      </c>
      <c r="H9" s="5" t="str">
        <f>IF(ISBLANK(Table2[[#This Row],[Category]]),"Unknown Categoty",Table2[[#This Row],[Category]])</f>
        <v>Kitchen</v>
      </c>
      <c r="I9" s="13" t="str">
        <f>CONCATENATE(Table478[[#This Row],[Product Name]]," ",Table478[[#This Row],[Brand Name]])</f>
        <v>Blender Ninja</v>
      </c>
    </row>
    <row r="10" spans="1:20" x14ac:dyDescent="0.25">
      <c r="A10" s="5" t="s">
        <v>53</v>
      </c>
      <c r="B10" s="18">
        <v>46270</v>
      </c>
      <c r="C10" s="17" t="s">
        <v>132</v>
      </c>
      <c r="D10" s="5" t="str">
        <f>PROPER(TRIM(Table2[[#This Row],[Product Name]]))</f>
        <v>Tablet</v>
      </c>
      <c r="E10" s="5" t="s">
        <v>55</v>
      </c>
      <c r="F10" s="19">
        <f>IF(ISBLANK(Table1[[#This Row],[Price ($)]]),MEDIAN(Table1[Price ($)]),Table1[[#This Row],[Price ($)]])</f>
        <v>500</v>
      </c>
      <c r="G10" s="9">
        <v>50</v>
      </c>
      <c r="H10" s="5" t="str">
        <f>IF(ISBLANK(Table2[[#This Row],[Category]]),"Unknown Categoty",Table2[[#This Row],[Category]])</f>
        <v>Electronics</v>
      </c>
      <c r="I10" s="13" t="str">
        <f>CONCATENATE(Table478[[#This Row],[Product Name]]," ",Table478[[#This Row],[Brand Name]])</f>
        <v>Tablet Apple</v>
      </c>
    </row>
    <row r="11" spans="1:20" x14ac:dyDescent="0.25">
      <c r="A11" s="8" t="s">
        <v>56</v>
      </c>
      <c r="B11" s="18">
        <v>46309</v>
      </c>
      <c r="C11" s="17" t="s">
        <v>132</v>
      </c>
      <c r="D11" s="8" t="str">
        <f>PROPER(TRIM(Table2[[#This Row],[Product Name]]))</f>
        <v>Hiking Boots</v>
      </c>
      <c r="E11" s="8" t="s">
        <v>58</v>
      </c>
      <c r="F11" s="20">
        <f>IF(ISBLANK(Table1[[#This Row],[Price ($)]]),MEDIAN(Table1[Price ($)]),Table1[[#This Row],[Price ($)]])</f>
        <v>130</v>
      </c>
      <c r="G11" s="10">
        <v>10</v>
      </c>
      <c r="H11" s="5" t="str">
        <f>IF(ISBLANK(Table2[[#This Row],[Category]]),"Unknown Categoty",Table2[[#This Row],[Category]])</f>
        <v>Outdoor</v>
      </c>
      <c r="I11" s="13" t="str">
        <f>CONCATENATE(Table478[[#This Row],[Product Name]]," ",Table478[[#This Row],[Brand Name]])</f>
        <v>Hiking Boots Timberland</v>
      </c>
    </row>
    <row r="12" spans="1:20" x14ac:dyDescent="0.25">
      <c r="A12" s="5" t="s">
        <v>60</v>
      </c>
      <c r="B12" s="18">
        <v>46190</v>
      </c>
      <c r="C12" s="17" t="s">
        <v>133</v>
      </c>
      <c r="D12" s="5" t="str">
        <f>PROPER(TRIM(Table2[[#This Row],[Product Name]]))</f>
        <v>Laptop</v>
      </c>
      <c r="E12" s="5" t="s">
        <v>62</v>
      </c>
      <c r="F12" s="19">
        <f>IF(ISBLANK(Table1[[#This Row],[Price ($)]]),MEDIAN(Table1[Price ($)]),Table1[[#This Row],[Price ($)]])</f>
        <v>950</v>
      </c>
      <c r="G12" s="9">
        <v>25</v>
      </c>
      <c r="H12" s="5" t="str">
        <f>IF(ISBLANK(Table2[[#This Row],[Category]]),"Unknown Categoty",Table2[[#This Row],[Category]])</f>
        <v>Electronics</v>
      </c>
      <c r="I12" s="13" t="str">
        <f>CONCATENATE(Table478[[#This Row],[Product Name]]," ",Table478[[#This Row],[Brand Name]])</f>
        <v>Laptop HP</v>
      </c>
    </row>
    <row r="13" spans="1:20" x14ac:dyDescent="0.25">
      <c r="A13" s="8" t="s">
        <v>63</v>
      </c>
      <c r="B13" s="18">
        <v>46351</v>
      </c>
      <c r="C13" s="17" t="s">
        <v>134</v>
      </c>
      <c r="D13" s="8" t="str">
        <f>PROPER(TRIM(Table2[[#This Row],[Product Name]]))</f>
        <v>Sneakers</v>
      </c>
      <c r="E13" s="8" t="s">
        <v>49</v>
      </c>
      <c r="F13" s="20">
        <f>IF(ISBLANK(Table1[[#This Row],[Price ($)]]),MEDIAN(Table1[Price ($)]),Table1[[#This Row],[Price ($)]])</f>
        <v>90</v>
      </c>
      <c r="G13" s="10">
        <v>40</v>
      </c>
      <c r="H13" s="5" t="str">
        <f>IF(ISBLANK(Table2[[#This Row],[Category]]),"Unknown Categoty",Table2[[#This Row],[Category]])</f>
        <v>Unknown Categoty</v>
      </c>
      <c r="I13" s="13" t="str">
        <f>CONCATENATE(Table478[[#This Row],[Product Name]]," ",Table478[[#This Row],[Brand Name]])</f>
        <v>Sneakers Adidas</v>
      </c>
    </row>
    <row r="14" spans="1:20" x14ac:dyDescent="0.25">
      <c r="A14" s="5" t="s">
        <v>64</v>
      </c>
      <c r="B14" s="18">
        <v>46364</v>
      </c>
      <c r="C14" s="17" t="s">
        <v>135</v>
      </c>
      <c r="D14" s="5" t="str">
        <f>PROPER(TRIM(Table2[[#This Row],[Product Name]]))</f>
        <v>Coffee Maker</v>
      </c>
      <c r="E14" s="5" t="s">
        <v>65</v>
      </c>
      <c r="F14" s="19">
        <f>IF(ISBLANK(Table1[[#This Row],[Price ($)]]),MEDIAN(Table1[Price ($)]),Table1[[#This Row],[Price ($)]])</f>
        <v>120</v>
      </c>
      <c r="G14" s="9">
        <v>35</v>
      </c>
      <c r="H14" s="5" t="str">
        <f>IF(ISBLANK(Table2[[#This Row],[Category]]),"Unknown Categoty",Table2[[#This Row],[Category]])</f>
        <v>Unknown Categoty</v>
      </c>
      <c r="I14" s="13" t="str">
        <f>CONCATENATE(Table478[[#This Row],[Product Name]]," ",Table478[[#This Row],[Brand Name]])</f>
        <v>Coffee Maker Nespresso</v>
      </c>
    </row>
    <row r="15" spans="1:20" x14ac:dyDescent="0.25">
      <c r="A15" s="8" t="s">
        <v>66</v>
      </c>
      <c r="B15" s="18">
        <v>46071</v>
      </c>
      <c r="C15" s="17" t="s">
        <v>136</v>
      </c>
      <c r="D15" s="8" t="str">
        <f>PROPER(TRIM(Table2[[#This Row],[Product Name]]))</f>
        <v>Smartwatch</v>
      </c>
      <c r="E15" s="8" t="s">
        <v>68</v>
      </c>
      <c r="F15" s="20">
        <f>IF(ISBLANK(Table1[[#This Row],[Price ($)]]),MEDIAN(Table1[Price ($)]),Table1[[#This Row],[Price ($)]])</f>
        <v>150</v>
      </c>
      <c r="G15" s="10">
        <v>15</v>
      </c>
      <c r="H15" s="5" t="str">
        <f>IF(ISBLANK(Table2[[#This Row],[Category]]),"Unknown Categoty",Table2[[#This Row],[Category]])</f>
        <v>Electronics</v>
      </c>
      <c r="I15" s="13" t="str">
        <f>CONCATENATE(Table478[[#This Row],[Product Name]]," ",Table478[[#This Row],[Brand Name]])</f>
        <v>Smartwatch Fitbit</v>
      </c>
    </row>
    <row r="16" spans="1:20" x14ac:dyDescent="0.25">
      <c r="A16" s="5" t="s">
        <v>69</v>
      </c>
      <c r="B16" s="18">
        <v>46128</v>
      </c>
      <c r="C16" s="17" t="s">
        <v>137</v>
      </c>
      <c r="D16" s="5" t="str">
        <f>PROPER(TRIM(Table2[[#This Row],[Product Name]]))</f>
        <v>Headphones</v>
      </c>
      <c r="E16" s="5" t="s">
        <v>71</v>
      </c>
      <c r="F16" s="19">
        <f>IF(ISBLANK(Table1[[#This Row],[Price ($)]]),MEDIAN(Table1[Price ($)]),Table1[[#This Row],[Price ($)]])</f>
        <v>250</v>
      </c>
      <c r="G16" s="9">
        <v>20</v>
      </c>
      <c r="H16" s="5" t="str">
        <f>IF(ISBLANK(Table2[[#This Row],[Category]]),"Unknown Categoty",Table2[[#This Row],[Category]])</f>
        <v>Electronics</v>
      </c>
      <c r="I16" s="13" t="str">
        <f>CONCATENATE(Table478[[#This Row],[Product Name]]," ",Table478[[#This Row],[Brand Name]])</f>
        <v>Headphones Bose</v>
      </c>
    </row>
    <row r="17" spans="1:9" x14ac:dyDescent="0.25">
      <c r="A17" s="8" t="s">
        <v>72</v>
      </c>
      <c r="B17" s="18">
        <v>46255</v>
      </c>
      <c r="C17" s="17" t="s">
        <v>136</v>
      </c>
      <c r="D17" s="8" t="str">
        <f>PROPER(TRIM(Table2[[#This Row],[Product Name]]))</f>
        <v>Laptop Bag</v>
      </c>
      <c r="E17" s="8" t="s">
        <v>74</v>
      </c>
      <c r="F17" s="20">
        <f>IF(ISBLANK(Table1[[#This Row],[Price ($)]]),MEDIAN(Table1[Price ($)]),Table1[[#This Row],[Price ($)]])</f>
        <v>50</v>
      </c>
      <c r="G17" s="10">
        <v>35</v>
      </c>
      <c r="H17" s="5" t="str">
        <f>IF(ISBLANK(Table2[[#This Row],[Category]]),"Unknown Categoty",Table2[[#This Row],[Category]])</f>
        <v>Accessories</v>
      </c>
      <c r="I17" s="13" t="str">
        <f>CONCATENATE(Table478[[#This Row],[Product Name]]," ",Table478[[#This Row],[Brand Name]])</f>
        <v>Laptop Bag Samsonite</v>
      </c>
    </row>
    <row r="18" spans="1:9" x14ac:dyDescent="0.25">
      <c r="A18" s="5" t="s">
        <v>76</v>
      </c>
      <c r="B18" s="18">
        <v>46254</v>
      </c>
      <c r="C18" s="17" t="s">
        <v>138</v>
      </c>
      <c r="D18" s="5" t="str">
        <f>PROPER(TRIM(Table2[[#This Row],[Product Name]]))</f>
        <v>Smartwatch</v>
      </c>
      <c r="E18" s="5" t="s">
        <v>77</v>
      </c>
      <c r="F18" s="19">
        <f>IF(ISBLANK(Table1[[#This Row],[Price ($)]]),MEDIAN(Table1[Price ($)]),Table1[[#This Row],[Price ($)]])</f>
        <v>160</v>
      </c>
      <c r="G18" s="9">
        <v>15</v>
      </c>
      <c r="H18" s="5" t="str">
        <f>IF(ISBLANK(Table2[[#This Row],[Category]]),"Unknown Categoty",Table2[[#This Row],[Category]])</f>
        <v>Electronics</v>
      </c>
      <c r="I18" s="13" t="str">
        <f>CONCATENATE(Table478[[#This Row],[Product Name]]," ",Table478[[#This Row],[Brand Name]])</f>
        <v>Smartwatch Huawei</v>
      </c>
    </row>
    <row r="19" spans="1:9" x14ac:dyDescent="0.25">
      <c r="A19" s="8" t="s">
        <v>78</v>
      </c>
      <c r="B19" s="18">
        <v>46049</v>
      </c>
      <c r="C19" s="17" t="s">
        <v>139</v>
      </c>
      <c r="D19" s="8" t="str">
        <f>PROPER(TRIM(Table2[[#This Row],[Product Name]]))</f>
        <v>Laptop</v>
      </c>
      <c r="E19" s="8" t="s">
        <v>79</v>
      </c>
      <c r="F19" s="20">
        <f>IF(ISBLANK(Table1[[#This Row],[Price ($)]]),MEDIAN(Table1[Price ($)]),Table1[[#This Row],[Price ($)]])</f>
        <v>980</v>
      </c>
      <c r="G19" s="10">
        <v>10</v>
      </c>
      <c r="H19" s="5" t="str">
        <f>IF(ISBLANK(Table2[[#This Row],[Category]]),"Unknown Categoty",Table2[[#This Row],[Category]])</f>
        <v>Electronics</v>
      </c>
      <c r="I19" s="13" t="str">
        <f>CONCATENATE(Table478[[#This Row],[Product Name]]," ",Table478[[#This Row],[Brand Name]])</f>
        <v>Laptop Asus</v>
      </c>
    </row>
    <row r="20" spans="1:9" x14ac:dyDescent="0.25">
      <c r="A20" s="5" t="s">
        <v>80</v>
      </c>
      <c r="B20" s="18">
        <v>46082</v>
      </c>
      <c r="C20" s="17" t="s">
        <v>132</v>
      </c>
      <c r="D20" s="5" t="str">
        <f>PROPER(TRIM(Table2[[#This Row],[Product Name]]))</f>
        <v>Sunglasses</v>
      </c>
      <c r="E20" s="5" t="s">
        <v>82</v>
      </c>
      <c r="F20" s="19">
        <f>IF(ISBLANK(Table1[[#This Row],[Price ($)]]),MEDIAN(Table1[Price ($)]),Table1[[#This Row],[Price ($)]])</f>
        <v>150</v>
      </c>
      <c r="G20" s="9">
        <v>15</v>
      </c>
      <c r="H20" s="5" t="str">
        <f>IF(ISBLANK(Table2[[#This Row],[Category]]),"Unknown Categoty",Table2[[#This Row],[Category]])</f>
        <v>Fashion</v>
      </c>
      <c r="I20" s="13" t="str">
        <f>CONCATENATE(Table478[[#This Row],[Product Name]]," ",Table478[[#This Row],[Brand Name]])</f>
        <v>Sunglasses Oakley</v>
      </c>
    </row>
    <row r="21" spans="1:9" x14ac:dyDescent="0.25">
      <c r="A21" s="8" t="s">
        <v>83</v>
      </c>
      <c r="B21" s="18">
        <v>46248</v>
      </c>
      <c r="C21" s="17" t="s">
        <v>131</v>
      </c>
      <c r="D21" s="8" t="str">
        <f>PROPER(TRIM(Table2[[#This Row],[Product Name]]))</f>
        <v>Camping Tent</v>
      </c>
      <c r="E21" s="8" t="s">
        <v>85</v>
      </c>
      <c r="F21" s="20">
        <f>IF(ISBLANK(Table1[[#This Row],[Price ($)]]),MEDIAN(Table1[Price ($)]),Table1[[#This Row],[Price ($)]])</f>
        <v>130</v>
      </c>
      <c r="G21" s="10">
        <v>10</v>
      </c>
      <c r="H21" s="5" t="str">
        <f>IF(ISBLANK(Table2[[#This Row],[Category]]),"Unknown Categoty",Table2[[#This Row],[Category]])</f>
        <v>Outdoor</v>
      </c>
      <c r="I21" s="13" t="str">
        <f>CONCATENATE(Table478[[#This Row],[Product Name]]," ",Table478[[#This Row],[Brand Name]])</f>
        <v>Camping Tent Coleman</v>
      </c>
    </row>
    <row r="22" spans="1:9" x14ac:dyDescent="0.25">
      <c r="A22" s="5" t="s">
        <v>86</v>
      </c>
      <c r="B22" s="18">
        <v>46156</v>
      </c>
      <c r="C22" s="17" t="s">
        <v>140</v>
      </c>
      <c r="D22" s="5" t="str">
        <f>PROPER(TRIM(Table2[[#This Row],[Product Name]]))</f>
        <v>Camera</v>
      </c>
      <c r="E22" s="5" t="s">
        <v>88</v>
      </c>
      <c r="F22" s="19">
        <f>IF(ISBLANK(Table1[[#This Row],[Price ($)]]),MEDIAN(Table1[Price ($)]),Table1[[#This Row],[Price ($)]])</f>
        <v>700</v>
      </c>
      <c r="G22" s="9">
        <v>50</v>
      </c>
      <c r="H22" s="5" t="str">
        <f>IF(ISBLANK(Table2[[#This Row],[Category]]),"Unknown Categoty",Table2[[#This Row],[Category]])</f>
        <v>Electronics</v>
      </c>
      <c r="I22" s="13" t="str">
        <f>CONCATENATE(Table478[[#This Row],[Product Name]]," ",Table478[[#This Row],[Brand Name]])</f>
        <v>Camera Nikon</v>
      </c>
    </row>
    <row r="23" spans="1:9" x14ac:dyDescent="0.25">
      <c r="A23" s="8" t="s">
        <v>89</v>
      </c>
      <c r="B23" s="18">
        <v>46031</v>
      </c>
      <c r="C23" s="17" t="s">
        <v>136</v>
      </c>
      <c r="D23" s="8" t="str">
        <f>PROPER(TRIM(Table2[[#This Row],[Product Name]]))</f>
        <v>Microwave</v>
      </c>
      <c r="E23" s="8" t="s">
        <v>91</v>
      </c>
      <c r="F23" s="20">
        <f>IF(ISBLANK(Table1[[#This Row],[Price ($)]]),MEDIAN(Table1[Price ($)]),Table1[[#This Row],[Price ($)]])</f>
        <v>80</v>
      </c>
      <c r="G23" s="10">
        <v>20</v>
      </c>
      <c r="H23" s="5" t="str">
        <f>IF(ISBLANK(Table2[[#This Row],[Category]]),"Unknown Categoty",Table2[[#This Row],[Category]])</f>
        <v>Kitchen</v>
      </c>
      <c r="I23" s="13" t="str">
        <f>CONCATENATE(Table478[[#This Row],[Product Name]]," ",Table478[[#This Row],[Brand Name]])</f>
        <v>Microwave Panasonic</v>
      </c>
    </row>
    <row r="24" spans="1:9" x14ac:dyDescent="0.25">
      <c r="A24" s="5" t="s">
        <v>92</v>
      </c>
      <c r="B24" s="18">
        <v>46222</v>
      </c>
      <c r="C24" s="17" t="s">
        <v>141</v>
      </c>
      <c r="D24" s="5" t="str">
        <f>PROPER(TRIM(Table2[[#This Row],[Product Name]]))</f>
        <v>Fitness Tracker</v>
      </c>
      <c r="E24" s="5" t="s">
        <v>94</v>
      </c>
      <c r="F24" s="19">
        <f>IF(ISBLANK(Table1[[#This Row],[Price ($)]]),MEDIAN(Table1[Price ($)]),Table1[[#This Row],[Price ($)]])</f>
        <v>150</v>
      </c>
      <c r="G24" s="9">
        <v>30</v>
      </c>
      <c r="H24" s="5" t="str">
        <f>IF(ISBLANK(Table2[[#This Row],[Category]]),"Unknown Categoty",Table2[[#This Row],[Category]])</f>
        <v>Unknown Categoty</v>
      </c>
      <c r="I24" s="13" t="str">
        <f>CONCATENATE(Table478[[#This Row],[Product Name]]," ",Table478[[#This Row],[Brand Name]])</f>
        <v>Fitness Tracker Xiaomi</v>
      </c>
    </row>
    <row r="25" spans="1:9" x14ac:dyDescent="0.25">
      <c r="A25" s="5" t="s">
        <v>95</v>
      </c>
      <c r="B25" s="18">
        <v>46294</v>
      </c>
      <c r="C25" s="17" t="s">
        <v>136</v>
      </c>
      <c r="D25" s="5" t="str">
        <f>PROPER(TRIM(Table2[[#This Row],[Product Name]]))</f>
        <v>Laptop Bag</v>
      </c>
      <c r="E25" s="5" t="s">
        <v>97</v>
      </c>
      <c r="F25" s="19">
        <f>IF(ISBLANK(Table1[[#This Row],[Price ($)]]),MEDIAN(Table1[Price ($)]),Table1[[#This Row],[Price ($)]])</f>
        <v>50</v>
      </c>
      <c r="G25" s="9">
        <v>45</v>
      </c>
      <c r="H25" s="5" t="str">
        <f>IF(ISBLANK(Table2[[#This Row],[Category]]),"Unknown Categoty",Table2[[#This Row],[Category]])</f>
        <v>Accessories</v>
      </c>
      <c r="I25" s="13" t="str">
        <f>CONCATENATE(Table478[[#This Row],[Product Name]]," ",Table478[[#This Row],[Brand Name]])</f>
        <v>Laptop Bag Google</v>
      </c>
    </row>
    <row r="26" spans="1:9" x14ac:dyDescent="0.25">
      <c r="A26" s="8" t="s">
        <v>98</v>
      </c>
      <c r="B26" s="18">
        <v>46176</v>
      </c>
      <c r="C26" s="17" t="s">
        <v>136</v>
      </c>
      <c r="D26" s="8" t="str">
        <f>PROPER(TRIM(Table2[[#This Row],[Product Name]]))</f>
        <v>Smartphone</v>
      </c>
      <c r="E26" s="8" t="s">
        <v>99</v>
      </c>
      <c r="F26" s="20">
        <f>IF(ISBLANK(Table1[[#This Row],[Price ($)]]),MEDIAN(Table1[Price ($)]),Table1[[#This Row],[Price ($)]])</f>
        <v>800</v>
      </c>
      <c r="G26" s="10">
        <v>25</v>
      </c>
      <c r="H26" s="5" t="str">
        <f>IF(ISBLANK(Table2[[#This Row],[Category]]),"Unknown Categoty",Table2[[#This Row],[Category]])</f>
        <v>Electronics</v>
      </c>
      <c r="I26" s="13" t="str">
        <f>CONCATENATE(Table478[[#This Row],[Product Name]]," ",Table478[[#This Row],[Brand Name]])</f>
        <v>Smartphone Ray-Ban</v>
      </c>
    </row>
    <row r="27" spans="1:9" x14ac:dyDescent="0.25">
      <c r="A27" s="5" t="s">
        <v>100</v>
      </c>
      <c r="B27" s="18">
        <v>46214</v>
      </c>
      <c r="C27" s="17" t="s">
        <v>136</v>
      </c>
      <c r="D27" s="5" t="str">
        <f>PROPER(TRIM(Table2[[#This Row],[Product Name]]))</f>
        <v>Sunglasses</v>
      </c>
      <c r="E27" s="5" t="s">
        <v>101</v>
      </c>
      <c r="F27" s="19">
        <f>IF(ISBLANK(Table1[[#This Row],[Price ($)]]),MEDIAN(Table1[Price ($)]),Table1[[#This Row],[Price ($)]])</f>
        <v>130</v>
      </c>
      <c r="G27" s="9">
        <v>40</v>
      </c>
      <c r="H27" s="5" t="str">
        <f>IF(ISBLANK(Table2[[#This Row],[Category]]),"Unknown Categoty",Table2[[#This Row],[Category]])</f>
        <v>Fashion</v>
      </c>
      <c r="I27" s="13" t="str">
        <f>CONCATENATE(Table478[[#This Row],[Product Name]]," ",Table478[[#This Row],[Brand Name]])</f>
        <v>Sunglasses Vitamix</v>
      </c>
    </row>
    <row r="28" spans="1:9" x14ac:dyDescent="0.25">
      <c r="A28" s="5" t="s">
        <v>102</v>
      </c>
      <c r="B28" s="18">
        <v>46088</v>
      </c>
      <c r="C28" s="17" t="s">
        <v>136</v>
      </c>
      <c r="D28" s="5" t="str">
        <f>PROPER(TRIM(Table2[[#This Row],[Product Name]]))</f>
        <v>Blender</v>
      </c>
      <c r="E28" s="5" t="s">
        <v>104</v>
      </c>
      <c r="F28" s="19">
        <f>IF(ISBLANK(Table1[[#This Row],[Price ($)]]),MEDIAN(Table1[Price ($)]),Table1[[#This Row],[Price ($)]])</f>
        <v>400</v>
      </c>
      <c r="G28" s="9">
        <v>30</v>
      </c>
      <c r="H28" s="5" t="str">
        <f>IF(ISBLANK(Table2[[#This Row],[Category]]),"Unknown Categoty",Table2[[#This Row],[Category]])</f>
        <v>Kitchen</v>
      </c>
      <c r="I28" s="13" t="str">
        <f>CONCATENATE(Table478[[#This Row],[Product Name]]," ",Table478[[#This Row],[Brand Name]])</f>
        <v>Blender Zara</v>
      </c>
    </row>
    <row r="29" spans="1:9" x14ac:dyDescent="0.25">
      <c r="A29" s="8" t="s">
        <v>105</v>
      </c>
      <c r="B29" s="18">
        <v>46125</v>
      </c>
      <c r="C29" s="17" t="s">
        <v>136</v>
      </c>
      <c r="D29" s="8" t="str">
        <f>PROPER(TRIM(Table2[[#This Row],[Product Name]]))</f>
        <v>Headphones</v>
      </c>
      <c r="E29" s="8" t="s">
        <v>107</v>
      </c>
      <c r="F29" s="20">
        <f>IF(ISBLANK(Table1[[#This Row],[Price ($)]]),MEDIAN(Table1[Price ($)]),Table1[[#This Row],[Price ($)]])</f>
        <v>250</v>
      </c>
      <c r="G29" s="10">
        <v>10</v>
      </c>
      <c r="H29" s="5" t="str">
        <f>IF(ISBLANK(Table2[[#This Row],[Category]]),"Unknown Categoty",Table2[[#This Row],[Category]])</f>
        <v>Electronics</v>
      </c>
      <c r="I29" s="13" t="str">
        <f>CONCATENATE(Table478[[#This Row],[Product Name]]," ",Table478[[#This Row],[Brand Name]])</f>
        <v>Headphones Hamilton</v>
      </c>
    </row>
    <row r="30" spans="1:9" x14ac:dyDescent="0.25">
      <c r="A30" s="5" t="s">
        <v>108</v>
      </c>
      <c r="B30" s="18">
        <v>46166</v>
      </c>
      <c r="C30" s="17" t="s">
        <v>136</v>
      </c>
      <c r="D30" s="5" t="str">
        <f>PROPER(TRIM(Table2[[#This Row],[Product Name]]))</f>
        <v>Dress</v>
      </c>
      <c r="E30" s="5" t="s">
        <v>109</v>
      </c>
      <c r="F30" s="19">
        <f>IF(ISBLANK(Table1[[#This Row],[Price ($)]]),MEDIAN(Table1[Price ($)]),Table1[[#This Row],[Price ($)]])</f>
        <v>60</v>
      </c>
      <c r="G30" s="9">
        <v>5</v>
      </c>
      <c r="H30" s="5" t="str">
        <f>IF(ISBLANK(Table2[[#This Row],[Category]]),"Unknown Categoty",Table2[[#This Row],[Category]])</f>
        <v>Fashion</v>
      </c>
      <c r="I30" s="13" t="str">
        <f>CONCATENATE(Table478[[#This Row],[Product Name]]," ",Table478[[#This Row],[Brand Name]])</f>
        <v>Dress Garmin</v>
      </c>
    </row>
    <row r="31" spans="1:9" x14ac:dyDescent="0.25">
      <c r="A31" s="8" t="s">
        <v>110</v>
      </c>
      <c r="B31" s="18">
        <v>46358</v>
      </c>
      <c r="C31" s="17" t="s">
        <v>136</v>
      </c>
      <c r="D31" s="8" t="str">
        <f>PROPER(TRIM(Table2[[#This Row],[Product Name]]))</f>
        <v>Toaster</v>
      </c>
      <c r="E31" s="8" t="s">
        <v>112</v>
      </c>
      <c r="F31" s="20">
        <f>IF(ISBLANK(Table1[[#This Row],[Price ($)]]),MEDIAN(Table1[Price ($)]),Table1[[#This Row],[Price ($)]])</f>
        <v>40</v>
      </c>
      <c r="G31" s="10">
        <v>50</v>
      </c>
      <c r="H31" s="5" t="str">
        <f>IF(ISBLANK(Table2[[#This Row],[Category]]),"Unknown Categoty",Table2[[#This Row],[Category]])</f>
        <v>Kitchen</v>
      </c>
      <c r="I31" s="13" t="str">
        <f>CONCATENATE(Table478[[#This Row],[Product Name]]," ",Table478[[#This Row],[Brand Name]])</f>
        <v>Toaster Levi's</v>
      </c>
    </row>
    <row r="32" spans="1:9" x14ac:dyDescent="0.25">
      <c r="A32" s="8" t="s">
        <v>113</v>
      </c>
      <c r="B32" s="18">
        <v>46212</v>
      </c>
      <c r="C32" s="17" t="s">
        <v>142</v>
      </c>
      <c r="D32" s="8" t="str">
        <f>PROPER(TRIM(Table2[[#This Row],[Product Name]]))</f>
        <v>Fitness Tracker</v>
      </c>
      <c r="E32" s="8" t="s">
        <v>115</v>
      </c>
      <c r="F32" s="20">
        <f>IF(ISBLANK(Table1[[#This Row],[Price ($)]]),MEDIAN(Table1[Price ($)]),Table1[[#This Row],[Price ($)]])</f>
        <v>130</v>
      </c>
      <c r="G32" s="10">
        <v>20</v>
      </c>
      <c r="H32" s="5" t="str">
        <f>IF(ISBLANK(Table2[[#This Row],[Category]]),"Unknown Categoty",Table2[[#This Row],[Category]])</f>
        <v>Electronics</v>
      </c>
      <c r="I32" s="13" t="str">
        <f>CONCATENATE(Table478[[#This Row],[Product Name]]," ",Table478[[#This Row],[Brand Name]])</f>
        <v>Fitness Tracker Casio</v>
      </c>
    </row>
  </sheetData>
  <conditionalFormatting sqref="H2:H32">
    <cfRule type="cellIs" dxfId="0" priority="1" operator="equal">
      <formula>$H$15</formula>
    </cfRule>
  </conditionalFormatting>
  <conditionalFormatting sqref="F2:F3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{80E614AC-8E78-42AE-B742-7E405D68FDA4}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E614AC-8E78-42AE-B742-7E405D68FD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1) Handling Missing Values</vt:lpstr>
      <vt:lpstr>2) Correcting Incosistant Data</vt:lpstr>
      <vt:lpstr>3)Removing Duplicates</vt:lpstr>
      <vt:lpstr>4)Splitting and Merging Data</vt:lpstr>
      <vt:lpstr>5)Number Formating</vt:lpstr>
      <vt:lpstr>6) 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Sanu Gopal</cp:lastModifiedBy>
  <dcterms:modified xsi:type="dcterms:W3CDTF">2026-10-30T04:33:19Z</dcterms:modified>
</cp:coreProperties>
</file>